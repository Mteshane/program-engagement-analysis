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0730" windowHeight="11040" tabRatio="500" activeTab="3"/>
  </bookViews>
  <sheets>
    <sheet name="Sheet1" sheetId="1" r:id="rId1"/>
    <sheet name="Checked Data" sheetId="2" r:id="rId2"/>
    <sheet name="Sheet2" sheetId="5" r:id="rId3"/>
    <sheet name="Pivot Tables" sheetId="3" r:id="rId4"/>
    <sheet name="Dashboard" sheetId="4" r:id="rId5"/>
  </sheets>
  <calcPr calcId="162913" concurrentCalc="0"/>
  <pivotCaches>
    <pivotCache cacheId="9" r:id="rId6"/>
  </pivotCaches>
</workbook>
</file>

<file path=xl/calcChain.xml><?xml version="1.0" encoding="utf-8"?>
<calcChain xmlns="http://schemas.openxmlformats.org/spreadsheetml/2006/main">
  <c r="C101" i="2" l="1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<sst xmlns="http://schemas.openxmlformats.org/spreadsheetml/2006/main" count="1248" uniqueCount="155">
  <si>
    <t>Activity</t>
  </si>
  <si>
    <t>User</t>
  </si>
  <si>
    <t>Age</t>
  </si>
  <si>
    <t>Site</t>
  </si>
  <si>
    <t>Average Session Time (Minutes)</t>
  </si>
  <si>
    <t>Interactions this Month</t>
  </si>
  <si>
    <t>Device</t>
  </si>
  <si>
    <t>New/Returning</t>
  </si>
  <si>
    <t>Source</t>
  </si>
  <si>
    <t>Gouldy</t>
  </si>
  <si>
    <t>JumpUp</t>
  </si>
  <si>
    <t>Mobile</t>
  </si>
  <si>
    <t>N</t>
  </si>
  <si>
    <t>Organic</t>
  </si>
  <si>
    <t>Carr</t>
  </si>
  <si>
    <t>StartFresh</t>
  </si>
  <si>
    <t>Desktop</t>
  </si>
  <si>
    <t>Referral</t>
  </si>
  <si>
    <t>Bishop</t>
  </si>
  <si>
    <t>HealthWise</t>
  </si>
  <si>
    <t>R</t>
  </si>
  <si>
    <t>Clements</t>
  </si>
  <si>
    <t>Cortez</t>
  </si>
  <si>
    <t>Slater</t>
  </si>
  <si>
    <t>Short</t>
  </si>
  <si>
    <t>Hopkins</t>
  </si>
  <si>
    <t>Cardenas</t>
  </si>
  <si>
    <t>Jensen</t>
  </si>
  <si>
    <t>Morris</t>
  </si>
  <si>
    <t>CPC</t>
  </si>
  <si>
    <t>Mckee</t>
  </si>
  <si>
    <t>Obrien</t>
  </si>
  <si>
    <t>Moodyblue</t>
  </si>
  <si>
    <t>Lindsay</t>
  </si>
  <si>
    <t>Osborne</t>
  </si>
  <si>
    <t>Burch</t>
  </si>
  <si>
    <t>Velasquez</t>
  </si>
  <si>
    <t>Mccullough</t>
  </si>
  <si>
    <t>Zamora</t>
  </si>
  <si>
    <t>Rosario</t>
  </si>
  <si>
    <t>Estrada</t>
  </si>
  <si>
    <t>Crawford</t>
  </si>
  <si>
    <t>Watson</t>
  </si>
  <si>
    <t>Nicholson</t>
  </si>
  <si>
    <t>Prince</t>
  </si>
  <si>
    <t>Vega</t>
  </si>
  <si>
    <t>Boyd</t>
  </si>
  <si>
    <t>Lopez</t>
  </si>
  <si>
    <t>Lowe</t>
  </si>
  <si>
    <t>Email</t>
  </si>
  <si>
    <t>Sparks</t>
  </si>
  <si>
    <t>Cannoncreek</t>
  </si>
  <si>
    <t>Gonzales</t>
  </si>
  <si>
    <t>Perry</t>
  </si>
  <si>
    <t>Moreno</t>
  </si>
  <si>
    <t xml:space="preserve">Email </t>
  </si>
  <si>
    <t>Duke</t>
  </si>
  <si>
    <t>Foreman</t>
  </si>
  <si>
    <t>Morrison</t>
  </si>
  <si>
    <t>Singleton</t>
  </si>
  <si>
    <t>Powell</t>
  </si>
  <si>
    <t>Byrdy</t>
  </si>
  <si>
    <t>Maddox</t>
  </si>
  <si>
    <t>Miller</t>
  </si>
  <si>
    <t>Rojas</t>
  </si>
  <si>
    <t>Merritt</t>
  </si>
  <si>
    <t>Barnes</t>
  </si>
  <si>
    <t>Bolton</t>
  </si>
  <si>
    <t>Day</t>
  </si>
  <si>
    <t>Petty</t>
  </si>
  <si>
    <t>Perkins</t>
  </si>
  <si>
    <t>Nash</t>
  </si>
  <si>
    <t>Anthony</t>
  </si>
  <si>
    <t xml:space="preserve">Organic </t>
  </si>
  <si>
    <t>Rosales</t>
  </si>
  <si>
    <t>Kline</t>
  </si>
  <si>
    <t>Glass</t>
  </si>
  <si>
    <t>Cannon</t>
  </si>
  <si>
    <t>Mclean</t>
  </si>
  <si>
    <t>Campbell</t>
  </si>
  <si>
    <t>none</t>
  </si>
  <si>
    <t>Finley</t>
  </si>
  <si>
    <t>Lambert</t>
  </si>
  <si>
    <t>Buck</t>
  </si>
  <si>
    <t>Delacruz</t>
  </si>
  <si>
    <t>Gill</t>
  </si>
  <si>
    <t>Sargent</t>
  </si>
  <si>
    <t>Medina</t>
  </si>
  <si>
    <t>Wilder</t>
  </si>
  <si>
    <t>Ellis</t>
  </si>
  <si>
    <t>Holden</t>
  </si>
  <si>
    <t>Travis</t>
  </si>
  <si>
    <t>Mcfadden</t>
  </si>
  <si>
    <t>Clayton</t>
  </si>
  <si>
    <t>Grimes</t>
  </si>
  <si>
    <t>Ramos</t>
  </si>
  <si>
    <t>Pratt</t>
  </si>
  <si>
    <t>Bray</t>
  </si>
  <si>
    <t>Velazquez</t>
  </si>
  <si>
    <t>Tyson</t>
  </si>
  <si>
    <t>Henderson</t>
  </si>
  <si>
    <t>Tucker</t>
  </si>
  <si>
    <t>Joyce</t>
  </si>
  <si>
    <t>Thomas</t>
  </si>
  <si>
    <t>Curtis</t>
  </si>
  <si>
    <t>Bright</t>
  </si>
  <si>
    <t>Wells</t>
  </si>
  <si>
    <t>Marshall</t>
  </si>
  <si>
    <t>Gross</t>
  </si>
  <si>
    <t>Conradie</t>
  </si>
  <si>
    <t>Vaughan</t>
  </si>
  <si>
    <t>Roberson</t>
  </si>
  <si>
    <t>Mueller</t>
  </si>
  <si>
    <t>organic</t>
  </si>
  <si>
    <t>Harmon</t>
  </si>
  <si>
    <t>Hale</t>
  </si>
  <si>
    <t>Sykes</t>
  </si>
  <si>
    <t>Patel</t>
  </si>
  <si>
    <t>Garza</t>
  </si>
  <si>
    <t>Fischer</t>
  </si>
  <si>
    <t>Manning</t>
  </si>
  <si>
    <t>Fuller</t>
  </si>
  <si>
    <t>Scott</t>
  </si>
  <si>
    <t>Sites</t>
  </si>
  <si>
    <t>Average of Average Session Time (Minutes)</t>
  </si>
  <si>
    <t>Average of Interactions this Month</t>
  </si>
  <si>
    <t>New(N)/Returning(R)</t>
  </si>
  <si>
    <t>Count of User(%)</t>
  </si>
  <si>
    <t>Grand Total</t>
  </si>
  <si>
    <t>Devices</t>
  </si>
  <si>
    <t>Avg Interactions</t>
  </si>
  <si>
    <t>Avg Session Time</t>
  </si>
  <si>
    <t>Total Average of Average Session Time (Minutes)</t>
  </si>
  <si>
    <t>Total Average of Interactions this Month</t>
  </si>
  <si>
    <t>Age Ranges</t>
  </si>
  <si>
    <t>&lt;18</t>
  </si>
  <si>
    <t>18–24</t>
  </si>
  <si>
    <t>25–34</t>
  </si>
  <si>
    <t>Sources</t>
  </si>
  <si>
    <t xml:space="preserve"> User Count(%)</t>
  </si>
  <si>
    <t>35–44</t>
  </si>
  <si>
    <t>45–54</t>
  </si>
  <si>
    <t>55–64</t>
  </si>
  <si>
    <t>75–89</t>
  </si>
  <si>
    <t>USER ENGAGEMENT DASHBOARD</t>
  </si>
  <si>
    <t>Data: March 2018</t>
  </si>
  <si>
    <t>Avg Session Time (min)</t>
  </si>
  <si>
    <t>Returning Users %</t>
  </si>
  <si>
    <t>44.0%</t>
  </si>
  <si>
    <t>Total Users</t>
  </si>
  <si>
    <t>Values</t>
  </si>
  <si>
    <t>Count of User</t>
  </si>
  <si>
    <t xml:space="preserve">New </t>
  </si>
  <si>
    <t>Returning</t>
  </si>
  <si>
    <t>Age 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</si>
</sst>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9">
    <font>
      <sz val="10"/>
      <color rgb="FF000000"/>
      <name val="Arial"/>
    </font>
    <font>
      <b/>
      <sz val="11"/>
      <color rgb="FF000000"/>
      <name val="Trebuchet MS"/>
    </font>
    <font>
      <b/>
      <sz val="11"/>
      <name val="Arial"/>
    </font>
    <font>
      <sz val="11"/>
      <color rgb="FF000000"/>
      <name val="Trebuchet MS"/>
    </font>
    <font>
      <sz val="11"/>
      <name val="Arial"/>
    </font>
    <font>
      <b/>
      <sz val="10"/>
      <color rgb="FF000000"/>
      <name val="Arial"/>
    </font>
    <font>
      <b/>
      <sz val="10"/>
      <name val="Arial"/>
    </font>
    <font>
      <sz val="10"/>
      <name val="Arial"/>
    </font>
    <font>
      <sz val="11"/>
      <color rgb="FF000000"/>
      <name val="Inconsolata"/>
    </font>
    <font>
      <sz val="11"/>
      <color rgb="FF000000"/>
      <name val="Arial"/>
    </font>
    <font>
      <b/>
      <sz val="18"/>
      <color rgb="FF3F3F76"/>
      <name val="Calibri"/>
      <scheme val="minor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theme="1"/>
      <name val="Calibri"/>
      <scheme val="minor"/>
    </font>
    <font>
      <b/>
      <sz val="18"/>
      <color rgb="FF9C6500"/>
      <name val="Calibri"/>
      <scheme val="minor"/>
    </font>
    <font>
      <b/>
      <sz val="18"/>
      <color rgb="FF006100"/>
      <name val="Calibri"/>
      <scheme val="minor"/>
    </font>
    <font>
      <b/>
      <sz val="20"/>
      <name val="Arial"/>
    </font>
    <font>
      <i/>
      <sz val="11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theme="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8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49" fontId="1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" fontId="0" fillId="0" borderId="0" xfId="0" applyNumberFormat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2" fontId="0" fillId="0" borderId="5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10" fillId="5" borderId="7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9" fontId="0" fillId="0" borderId="5" xfId="0" applyNumberFormat="1" applyBorder="1" applyAlignment="1">
      <alignment horizontal="left"/>
    </xf>
    <xf numFmtId="1" fontId="0" fillId="0" borderId="6" xfId="0" applyNumberFormat="1" applyBorder="1" applyAlignment="1">
      <alignment horizontal="left"/>
    </xf>
    <xf numFmtId="2" fontId="0" fillId="0" borderId="4" xfId="0" applyNumberFormat="1" applyBorder="1" applyAlignment="1">
      <alignment horizontal="left"/>
    </xf>
    <xf numFmtId="2" fontId="11" fillId="5" borderId="7" xfId="0" applyNumberFormat="1" applyFont="1" applyFill="1" applyBorder="1" applyAlignment="1">
      <alignment horizontal="left"/>
    </xf>
    <xf numFmtId="1" fontId="11" fillId="5" borderId="7" xfId="0" applyNumberFormat="1" applyFont="1" applyFill="1" applyBorder="1" applyAlignment="1">
      <alignment horizontal="left"/>
    </xf>
    <xf numFmtId="2" fontId="11" fillId="4" borderId="1" xfId="0" applyNumberFormat="1" applyFont="1" applyFill="1" applyBorder="1" applyAlignment="1">
      <alignment horizontal="left"/>
    </xf>
    <xf numFmtId="1" fontId="11" fillId="4" borderId="1" xfId="0" applyNumberFormat="1" applyFont="1" applyFill="1" applyBorder="1" applyAlignment="1">
      <alignment horizontal="left"/>
    </xf>
    <xf numFmtId="2" fontId="11" fillId="3" borderId="1" xfId="0" applyNumberFormat="1" applyFont="1" applyFill="1" applyBorder="1" applyAlignment="1">
      <alignment horizontal="left"/>
    </xf>
    <xf numFmtId="1" fontId="11" fillId="3" borderId="1" xfId="0" applyNumberFormat="1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9" fontId="0" fillId="0" borderId="3" xfId="0" applyNumberFormat="1" applyBorder="1" applyAlignment="1">
      <alignment horizontal="left"/>
    </xf>
    <xf numFmtId="0" fontId="18" fillId="0" borderId="0" xfId="0" applyFont="1"/>
    <xf numFmtId="0" fontId="17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pivotButton="1" applyAlignment="1">
      <alignment horizontal="left"/>
    </xf>
    <xf numFmtId="0" fontId="0" fillId="0" borderId="1" xfId="0" pivotButton="1" applyBorder="1" applyAlignment="1">
      <alignment horizontal="left"/>
    </xf>
    <xf numFmtId="0" fontId="5" fillId="0" borderId="1" xfId="0" pivotButton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2" fontId="13" fillId="6" borderId="9" xfId="0" applyNumberFormat="1" applyFont="1" applyFill="1" applyBorder="1" applyAlignment="1">
      <alignment horizontal="left"/>
    </xf>
    <xf numFmtId="1" fontId="13" fillId="6" borderId="9" xfId="0" applyNumberFormat="1" applyFont="1" applyFill="1" applyBorder="1" applyAlignment="1">
      <alignment horizontal="left"/>
    </xf>
    <xf numFmtId="0" fontId="5" fillId="0" borderId="0" xfId="0" pivotButton="1" applyFont="1" applyAlignment="1">
      <alignment horizontal="left"/>
    </xf>
  </cellXfs>
  <cellStyles count="1">
    <cellStyle name="Normal" xfId="0" builtinId="0"/>
  </cellStyles>
  <dxfs count="83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4" formatCode="0.0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numFmt numFmtId="165" formatCode="0.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numFmt numFmtId="13" formatCode="0%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4" formatCode="0.0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numFmt numFmtId="165" formatCode="0.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numFmt numFmtId="13" formatCode="0%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4" formatCode="0.0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numFmt numFmtId="165" formatCode="0.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4" formatCode="0.0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numFmt numFmtId="165" formatCode="0.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4" formatCode="0.0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numFmt numFmtId="165" formatCode="0.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5"/>
      </font>
    </dxf>
    <dxf>
      <font>
        <sz val="15"/>
      </font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3F3F76"/>
        <name val="Calibri"/>
        <scheme val="minor"/>
      </font>
      <fill>
        <patternFill patternType="solid">
          <fgColor indexed="65"/>
          <bgColor rgb="FFFFCC99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/>
        </top>
        <bottom style="double">
          <color theme="4"/>
        </bottom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numFmt numFmtId="30" formatCode="@"/>
      <alignment horizontal="left" vertical="bottom"/>
    </dxf>
    <dxf>
      <numFmt numFmtId="30" formatCode="@"/>
      <alignment horizontal="left" vertical="bottom"/>
    </dxf>
    <dxf>
      <numFmt numFmtId="30" formatCode="@"/>
      <alignment horizontal="left" vertical="bottom"/>
    </dxf>
    <dxf>
      <numFmt numFmtId="1" formatCode="0"/>
      <alignment horizontal="left" vertical="bottom"/>
    </dxf>
    <dxf>
      <numFmt numFmtId="2" formatCode="0.00"/>
      <alignment horizontal="left" vertical="bottom"/>
    </dxf>
    <dxf>
      <alignment horizontal="left" vertical="bottom"/>
    </dxf>
    <dxf>
      <numFmt numFmtId="1" formatCode="0"/>
      <alignment horizontal="left" vertical="bottom"/>
    </dxf>
    <dxf>
      <numFmt numFmtId="1" formatCode="0"/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[Intern%20Assignement%20User%20Activity%20-%20March%202018%20%2gggggggggggg8dashboard%29.xlsx]Pivot Tables!PivotTable13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Average of Average Session Time (Minutes)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Tables'!$A$5:$A$8</c:f>
              <c:strCache>
                <c:ptCount val="3"/>
                <c:pt idx="0">
                  <c:v>StartFresh</c:v>
                </c:pt>
                <c:pt idx="1">
                  <c:v>HealthWise</c:v>
                </c:pt>
                <c:pt idx="2">
                  <c:v>JumpUp</c:v>
                </c:pt>
              </c:strCache>
            </c:strRef>
          </c:cat>
          <c:val>
            <c:numRef>
              <c:f>'Pivot Tables'!$B$5:$B$8</c:f>
              <c:numCache>
                <c:formatCode>0.00</c:formatCode>
                <c:ptCount val="3"/>
                <c:pt idx="0">
                  <c:v>25.220054971435566</c:v>
                </c:pt>
                <c:pt idx="1">
                  <c:v>31.573757655612493</c:v>
                </c:pt>
                <c:pt idx="2">
                  <c:v>23.089955187525348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A-40A9-8083-4ED92806BC92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Average of Interactions this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Tables'!$A$5:$A$8</c:f>
              <c:strCache>
                <c:ptCount val="3"/>
                <c:pt idx="0">
                  <c:v>StartFresh</c:v>
                </c:pt>
                <c:pt idx="1">
                  <c:v>HealthWise</c:v>
                </c:pt>
                <c:pt idx="2">
                  <c:v>JumpUp</c:v>
                </c:pt>
              </c:strCache>
            </c:strRef>
          </c:cat>
          <c:val>
            <c:numRef>
              <c:f>'Pivot Tables'!$C$5:$C$8</c:f>
              <c:numCache>
                <c:formatCode>0</c:formatCode>
                <c:ptCount val="3"/>
                <c:pt idx="0">
                  <c:v>7.0652173913043477</c:v>
                </c:pt>
                <c:pt idx="1">
                  <c:v>5.4642857142857144</c:v>
                </c:pt>
                <c:pt idx="2">
                  <c:v>5.3076923076923075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A-40A9-8083-4ED92806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2223640"/>
        <c:axId val="532223312"/>
        <c:axId val="0"/>
      </c:bar3DChart>
      <c:catAx>
        <c:axId val="532223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23312"/>
        <c:crosses val="autoZero"/>
        <c:auto val="1"/>
        <c:lblAlgn val="ctr"/>
        <c:lblOffset val="100"/>
        <c:noMultiLvlLbl val="0"/>
      </c:catAx>
      <c:valAx>
        <c:axId val="5322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23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86828604877736"/>
          <c:y val="0.25564851268591426"/>
          <c:w val="0.31112339253525473"/>
          <c:h val="0.424908501020705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[Intern%20Assignement%20User%20Activity%20-%20March%202018%20%2gggggggggggg8dashboard%29.xlsx]Pivot Tables!PivotTable16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Session Time (Minutes)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Tables'!$G$3:$G$4</c:f>
              <c:strCache>
                <c:ptCount val="1"/>
                <c:pt idx="0">
                  <c:v>Average of Average Session Time (Minutes)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3BB-4D2F-9BEA-A729A6D6A6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3BB-4D2F-9BEA-A729A6D6A6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Tables'!$F$5:$F$7</c:f>
              <c:strCache>
                <c:ptCount val="2"/>
                <c:pt idx="0">
                  <c:v>New </c:v>
                </c:pt>
                <c:pt idx="1">
                  <c:v>Returning</c:v>
                </c:pt>
              </c:strCache>
            </c:strRef>
          </c:cat>
          <c:val>
            <c:numRef>
              <c:f>'Pivot Tables'!$G$5:$G$7</c:f>
              <c:numCache>
                <c:formatCode>0.00</c:formatCode>
                <c:ptCount val="2"/>
                <c:pt idx="0">
                  <c:v>23.882058032761982</c:v>
                </c:pt>
                <c:pt idx="1">
                  <c:v>29.707530183731226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BB-4D2F-9BEA-A729A6D6A6DC}"/>
            </c:ext>
          </c:extLst>
        </c:ser>
        <c:ser>
          <c:idx val="1"/>
          <c:order val="1"/>
          <c:tx>
            <c:strRef>
              <c:f>'Pivot Tables'!$H$3:$H$4</c:f>
              <c:strCache>
                <c:ptCount val="1"/>
                <c:pt idx="0">
                  <c:v>Count of User(%)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63BB-4D2F-9BEA-A729A6D6A6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63BB-4D2F-9BEA-A729A6D6A6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Tables'!$F$5:$F$7</c:f>
              <c:strCache>
                <c:ptCount val="2"/>
                <c:pt idx="0">
                  <c:v>New </c:v>
                </c:pt>
                <c:pt idx="1">
                  <c:v>Returning</c:v>
                </c:pt>
              </c:strCache>
            </c:strRef>
          </c:cat>
          <c:val>
            <c:numRef>
              <c:f>'Pivot Tables'!$H$5:$H$7</c:f>
              <c:numCache>
                <c:formatCode>0%</c:formatCode>
                <c:ptCount val="2"/>
                <c:pt idx="0">
                  <c:v>0.56000000000000005</c:v>
                </c:pt>
                <c:pt idx="1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BB-4D2F-9BEA-A729A6D6A6DC}"/>
            </c:ext>
          </c:extLst>
        </c:ser>
        <c:ser>
          <c:idx val="2"/>
          <c:order val="2"/>
          <c:tx>
            <c:strRef>
              <c:f>'Pivot Tables'!$I$3:$I$4</c:f>
              <c:strCache>
                <c:ptCount val="1"/>
                <c:pt idx="0">
                  <c:v>Average of Interactions this 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3BB-4D2F-9BEA-A729A6D6A6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3BB-4D2F-9BEA-A729A6D6A6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Tables'!$F$5:$F$7</c:f>
              <c:strCache>
                <c:ptCount val="2"/>
                <c:pt idx="0">
                  <c:v>New </c:v>
                </c:pt>
                <c:pt idx="1">
                  <c:v>Returning</c:v>
                </c:pt>
              </c:strCache>
            </c:strRef>
          </c:cat>
          <c:val>
            <c:numRef>
              <c:f>'Pivot Tables'!$I$5:$I$7</c:f>
              <c:numCache>
                <c:formatCode>0</c:formatCode>
                <c:ptCount val="2"/>
                <c:pt idx="0">
                  <c:v>6.0357142857142856</c:v>
                </c:pt>
                <c:pt idx="1">
                  <c:v>6.3181818181818183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3BB-4D2F-9BEA-A729A6D6A6D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[Intern%20Assignement%20User%20Activity%20-%20March%202018%20%2gggggggggggg8dashboard%29.xlsx]Pivot Tables!PivotTable15</c:name>
    <c:fmtId val="3"/>
  </c:pivotSource>
  <c:chart>
    <c:title>
      <c:layout>
        <c:manualLayout>
          <c:xMode val="edge"/>
          <c:yMode val="edge"/>
          <c:x val="0.15335411198600174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Tables'!$G$10:$G$12</c:f>
              <c:strCache>
                <c:ptCount val="1"/>
                <c:pt idx="0">
                  <c:v>HealthWise - Average of Average Session Time (Minutes)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44-44F5-9524-ADFD3416A7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44-44F5-9524-ADFD3416A7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44-44F5-9524-ADFD3416A7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44-44F5-9524-ADFD3416A7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A44-44F5-9524-ADFD3416A7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A44-44F5-9524-ADFD3416A7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Tables'!$F$13:$F$20</c:f>
              <c:strCache>
                <c:ptCount val="7"/>
                <c:pt idx="0">
                  <c:v>&lt;18</c:v>
                </c:pt>
                <c:pt idx="1">
                  <c:v>18–24</c:v>
                </c:pt>
                <c:pt idx="2">
                  <c:v>25–34</c:v>
                </c:pt>
                <c:pt idx="3">
                  <c:v>35–44</c:v>
                </c:pt>
                <c:pt idx="4">
                  <c:v>45–54</c:v>
                </c:pt>
                <c:pt idx="5">
                  <c:v>55–64</c:v>
                </c:pt>
                <c:pt idx="6">
                  <c:v>75–89</c:v>
                </c:pt>
              </c:strCache>
            </c:strRef>
          </c:cat>
          <c:val>
            <c:numRef>
              <c:f>'Pivot Tables'!$G$13:$G$20</c:f>
              <c:numCache>
                <c:formatCode>0.00</c:formatCode>
                <c:ptCount val="7"/>
                <c:pt idx="1">
                  <c:v>40.027285611380158</c:v>
                </c:pt>
                <c:pt idx="2">
                  <c:v>26.840487517417777</c:v>
                </c:pt>
                <c:pt idx="3">
                  <c:v>28.584155400287663</c:v>
                </c:pt>
                <c:pt idx="4">
                  <c:v>33.409451623640102</c:v>
                </c:pt>
                <c:pt idx="5">
                  <c:v>34.054854765420643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44-44F5-9524-ADFD3416A79B}"/>
            </c:ext>
          </c:extLst>
        </c:ser>
        <c:ser>
          <c:idx val="1"/>
          <c:order val="1"/>
          <c:tx>
            <c:strRef>
              <c:f>'Pivot Tables'!$H$10:$H$12</c:f>
              <c:strCache>
                <c:ptCount val="1"/>
                <c:pt idx="0">
                  <c:v>HealthWise - Average of Interactions this 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A44-44F5-9524-ADFD3416A7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A44-44F5-9524-ADFD3416A7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A44-44F5-9524-ADFD3416A7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A44-44F5-9524-ADFD3416A7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AA44-44F5-9524-ADFD3416A7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AA44-44F5-9524-ADFD3416A7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Tables'!$F$13:$F$20</c:f>
              <c:strCache>
                <c:ptCount val="7"/>
                <c:pt idx="0">
                  <c:v>&lt;18</c:v>
                </c:pt>
                <c:pt idx="1">
                  <c:v>18–24</c:v>
                </c:pt>
                <c:pt idx="2">
                  <c:v>25–34</c:v>
                </c:pt>
                <c:pt idx="3">
                  <c:v>35–44</c:v>
                </c:pt>
                <c:pt idx="4">
                  <c:v>45–54</c:v>
                </c:pt>
                <c:pt idx="5">
                  <c:v>55–64</c:v>
                </c:pt>
                <c:pt idx="6">
                  <c:v>75–89</c:v>
                </c:pt>
              </c:strCache>
            </c:strRef>
          </c:cat>
          <c:val>
            <c:numRef>
              <c:f>'Pivot Tables'!$H$13:$H$20</c:f>
              <c:numCache>
                <c:formatCode>0</c:formatCode>
                <c:ptCount val="7"/>
                <c:pt idx="1">
                  <c:v>7.25</c:v>
                </c:pt>
                <c:pt idx="2">
                  <c:v>4.5999999999999996</c:v>
                </c:pt>
                <c:pt idx="3">
                  <c:v>6.2</c:v>
                </c:pt>
                <c:pt idx="4">
                  <c:v>4.25</c:v>
                </c:pt>
                <c:pt idx="5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A44-44F5-9524-ADFD3416A79B}"/>
            </c:ext>
          </c:extLst>
        </c:ser>
        <c:ser>
          <c:idx val="2"/>
          <c:order val="2"/>
          <c:tx>
            <c:strRef>
              <c:f>'Pivot Tables'!$I$10:$I$12</c:f>
              <c:strCache>
                <c:ptCount val="1"/>
                <c:pt idx="0">
                  <c:v>JumpUp - Average of Average Session Time (Minutes)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elete val="1"/>
          </c:dLbls>
          <c:cat>
            <c:strRef>
              <c:f>'Pivot Tables'!$F$13:$F$20</c:f>
              <c:strCache>
                <c:ptCount val="7"/>
                <c:pt idx="0">
                  <c:v>&lt;18</c:v>
                </c:pt>
                <c:pt idx="1">
                  <c:v>18–24</c:v>
                </c:pt>
                <c:pt idx="2">
                  <c:v>25–34</c:v>
                </c:pt>
                <c:pt idx="3">
                  <c:v>35–44</c:v>
                </c:pt>
                <c:pt idx="4">
                  <c:v>45–54</c:v>
                </c:pt>
                <c:pt idx="5">
                  <c:v>55–64</c:v>
                </c:pt>
                <c:pt idx="6">
                  <c:v>75–89</c:v>
                </c:pt>
              </c:strCache>
            </c:strRef>
          </c:cat>
          <c:val>
            <c:numRef>
              <c:f>'Pivot Tables'!$I$13:$I$20</c:f>
              <c:numCache>
                <c:formatCode>0.00</c:formatCode>
                <c:ptCount val="7"/>
                <c:pt idx="1">
                  <c:v>26.303481662225451</c:v>
                </c:pt>
                <c:pt idx="2">
                  <c:v>19.282455858885207</c:v>
                </c:pt>
                <c:pt idx="3">
                  <c:v>20.416685572153508</c:v>
                </c:pt>
                <c:pt idx="4">
                  <c:v>34.38353483439721</c:v>
                </c:pt>
                <c:pt idx="5">
                  <c:v>24.025856595678089</c:v>
                </c:pt>
                <c:pt idx="6">
                  <c:v>17.79898571467616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A44-44F5-9524-ADFD3416A79B}"/>
            </c:ext>
          </c:extLst>
        </c:ser>
        <c:ser>
          <c:idx val="3"/>
          <c:order val="3"/>
          <c:tx>
            <c:strRef>
              <c:f>'Pivot Tables'!$J$10:$J$12</c:f>
              <c:strCache>
                <c:ptCount val="1"/>
                <c:pt idx="0">
                  <c:v>JumpUp - Average of Interactions this 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elete val="1"/>
          </c:dLbls>
          <c:cat>
            <c:strRef>
              <c:f>'Pivot Tables'!$F$13:$F$20</c:f>
              <c:strCache>
                <c:ptCount val="7"/>
                <c:pt idx="0">
                  <c:v>&lt;18</c:v>
                </c:pt>
                <c:pt idx="1">
                  <c:v>18–24</c:v>
                </c:pt>
                <c:pt idx="2">
                  <c:v>25–34</c:v>
                </c:pt>
                <c:pt idx="3">
                  <c:v>35–44</c:v>
                </c:pt>
                <c:pt idx="4">
                  <c:v>45–54</c:v>
                </c:pt>
                <c:pt idx="5">
                  <c:v>55–64</c:v>
                </c:pt>
                <c:pt idx="6">
                  <c:v>75–89</c:v>
                </c:pt>
              </c:strCache>
            </c:strRef>
          </c:cat>
          <c:val>
            <c:numRef>
              <c:f>'Pivot Tables'!$J$13:$J$20</c:f>
              <c:numCache>
                <c:formatCode>0</c:formatCode>
                <c:ptCount val="7"/>
                <c:pt idx="1">
                  <c:v>5.4545454545454541</c:v>
                </c:pt>
                <c:pt idx="2">
                  <c:v>5.1111111111111107</c:v>
                </c:pt>
                <c:pt idx="3">
                  <c:v>7</c:v>
                </c:pt>
                <c:pt idx="4">
                  <c:v>1</c:v>
                </c:pt>
                <c:pt idx="5">
                  <c:v>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A44-44F5-9524-ADFD3416A79B}"/>
            </c:ext>
          </c:extLst>
        </c:ser>
        <c:ser>
          <c:idx val="4"/>
          <c:order val="4"/>
          <c:tx>
            <c:strRef>
              <c:f>'Pivot Tables'!$K$10:$K$12</c:f>
              <c:strCache>
                <c:ptCount val="1"/>
                <c:pt idx="0">
                  <c:v>StartFresh - Average of Average Session Time (Minutes)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Tables'!$F$13:$F$20</c:f>
              <c:strCache>
                <c:ptCount val="7"/>
                <c:pt idx="0">
                  <c:v>&lt;18</c:v>
                </c:pt>
                <c:pt idx="1">
                  <c:v>18–24</c:v>
                </c:pt>
                <c:pt idx="2">
                  <c:v>25–34</c:v>
                </c:pt>
                <c:pt idx="3">
                  <c:v>35–44</c:v>
                </c:pt>
                <c:pt idx="4">
                  <c:v>45–54</c:v>
                </c:pt>
                <c:pt idx="5">
                  <c:v>55–64</c:v>
                </c:pt>
                <c:pt idx="6">
                  <c:v>75–89</c:v>
                </c:pt>
              </c:strCache>
            </c:strRef>
          </c:cat>
          <c:val>
            <c:numRef>
              <c:f>'Pivot Tables'!$K$13:$K$20</c:f>
              <c:numCache>
                <c:formatCode>0.00</c:formatCode>
                <c:ptCount val="7"/>
                <c:pt idx="0">
                  <c:v>34.820164582867498</c:v>
                </c:pt>
                <c:pt idx="1">
                  <c:v>35.181740548930769</c:v>
                </c:pt>
                <c:pt idx="2">
                  <c:v>23.601888977770116</c:v>
                </c:pt>
                <c:pt idx="3">
                  <c:v>23.323452754596797</c:v>
                </c:pt>
                <c:pt idx="4">
                  <c:v>28.260414535778928</c:v>
                </c:pt>
                <c:pt idx="5">
                  <c:v>23.448103623231315</c:v>
                </c:pt>
                <c:pt idx="6">
                  <c:v>19.756960024024728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A44-44F5-9524-ADFD3416A79B}"/>
            </c:ext>
          </c:extLst>
        </c:ser>
        <c:ser>
          <c:idx val="5"/>
          <c:order val="5"/>
          <c:tx>
            <c:strRef>
              <c:f>'Pivot Tables'!$L$10:$L$12</c:f>
              <c:strCache>
                <c:ptCount val="1"/>
                <c:pt idx="0">
                  <c:v>StartFresh - Average of Interactions this 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Tables'!$F$13:$F$20</c:f>
              <c:strCache>
                <c:ptCount val="7"/>
                <c:pt idx="0">
                  <c:v>&lt;18</c:v>
                </c:pt>
                <c:pt idx="1">
                  <c:v>18–24</c:v>
                </c:pt>
                <c:pt idx="2">
                  <c:v>25–34</c:v>
                </c:pt>
                <c:pt idx="3">
                  <c:v>35–44</c:v>
                </c:pt>
                <c:pt idx="4">
                  <c:v>45–54</c:v>
                </c:pt>
                <c:pt idx="5">
                  <c:v>55–64</c:v>
                </c:pt>
                <c:pt idx="6">
                  <c:v>75–89</c:v>
                </c:pt>
              </c:strCache>
            </c:strRef>
          </c:cat>
          <c:val>
            <c:numRef>
              <c:f>'Pivot Tables'!$L$13:$L$20</c:f>
              <c:numCache>
                <c:formatCode>0</c:formatCode>
                <c:ptCount val="7"/>
                <c:pt idx="0">
                  <c:v>9</c:v>
                </c:pt>
                <c:pt idx="1">
                  <c:v>9.6666666666666661</c:v>
                </c:pt>
                <c:pt idx="2">
                  <c:v>6.5384615384615383</c:v>
                </c:pt>
                <c:pt idx="3">
                  <c:v>7.2</c:v>
                </c:pt>
                <c:pt idx="4">
                  <c:v>6.375</c:v>
                </c:pt>
                <c:pt idx="5">
                  <c:v>8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A44-44F5-9524-ADFD3416A7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[Intern%20Assignement%20User%20Activity%20-%20March%202018%20%2gggggggggggg8dashboard%29.xlsx]Pivot Tables!PivotTable14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Tables'!$B$16:$B$17</c:f>
              <c:strCache>
                <c:ptCount val="1"/>
                <c:pt idx="0">
                  <c:v> User Count(%)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Tables'!$A$18:$A$25</c:f>
              <c:strCache>
                <c:ptCount val="7"/>
                <c:pt idx="0">
                  <c:v>CPC</c:v>
                </c:pt>
                <c:pt idx="1">
                  <c:v>Email</c:v>
                </c:pt>
                <c:pt idx="2">
                  <c:v>Email </c:v>
                </c:pt>
                <c:pt idx="3">
                  <c:v>none</c:v>
                </c:pt>
                <c:pt idx="4">
                  <c:v>Organic</c:v>
                </c:pt>
                <c:pt idx="5">
                  <c:v>Organic </c:v>
                </c:pt>
                <c:pt idx="6">
                  <c:v>Referral</c:v>
                </c:pt>
              </c:strCache>
            </c:strRef>
          </c:cat>
          <c:val>
            <c:numRef>
              <c:f>'Pivot Tables'!$B$18:$B$25</c:f>
              <c:numCache>
                <c:formatCode>0%</c:formatCode>
                <c:ptCount val="7"/>
                <c:pt idx="0">
                  <c:v>0.12</c:v>
                </c:pt>
                <c:pt idx="1">
                  <c:v>0.11</c:v>
                </c:pt>
                <c:pt idx="2">
                  <c:v>0.02</c:v>
                </c:pt>
                <c:pt idx="3">
                  <c:v>0.06</c:v>
                </c:pt>
                <c:pt idx="4">
                  <c:v>0.1</c:v>
                </c:pt>
                <c:pt idx="5">
                  <c:v>0.01</c:v>
                </c:pt>
                <c:pt idx="6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6-41B1-AD17-604E9A5DE5CE}"/>
            </c:ext>
          </c:extLst>
        </c:ser>
        <c:ser>
          <c:idx val="1"/>
          <c:order val="1"/>
          <c:tx>
            <c:strRef>
              <c:f>'Pivot Tables'!$C$16:$C$17</c:f>
              <c:strCache>
                <c:ptCount val="1"/>
                <c:pt idx="0">
                  <c:v>Average of Interactions this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Tables'!$A$18:$A$25</c:f>
              <c:strCache>
                <c:ptCount val="7"/>
                <c:pt idx="0">
                  <c:v>CPC</c:v>
                </c:pt>
                <c:pt idx="1">
                  <c:v>Email</c:v>
                </c:pt>
                <c:pt idx="2">
                  <c:v>Email </c:v>
                </c:pt>
                <c:pt idx="3">
                  <c:v>none</c:v>
                </c:pt>
                <c:pt idx="4">
                  <c:v>Organic</c:v>
                </c:pt>
                <c:pt idx="5">
                  <c:v>Organic </c:v>
                </c:pt>
                <c:pt idx="6">
                  <c:v>Referral</c:v>
                </c:pt>
              </c:strCache>
            </c:strRef>
          </c:cat>
          <c:val>
            <c:numRef>
              <c:f>'Pivot Tables'!$C$18:$C$25</c:f>
              <c:numCache>
                <c:formatCode>0</c:formatCode>
                <c:ptCount val="7"/>
                <c:pt idx="0">
                  <c:v>6.583333333333333</c:v>
                </c:pt>
                <c:pt idx="1">
                  <c:v>7.8181818181818183</c:v>
                </c:pt>
                <c:pt idx="2">
                  <c:v>5</c:v>
                </c:pt>
                <c:pt idx="3">
                  <c:v>5.833333333333333</c:v>
                </c:pt>
                <c:pt idx="4">
                  <c:v>4.5999999999999996</c:v>
                </c:pt>
                <c:pt idx="5">
                  <c:v>7</c:v>
                </c:pt>
                <c:pt idx="6">
                  <c:v>6.0862068965517242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6-41B1-AD17-604E9A5DE5CE}"/>
            </c:ext>
          </c:extLst>
        </c:ser>
        <c:ser>
          <c:idx val="2"/>
          <c:order val="2"/>
          <c:tx>
            <c:strRef>
              <c:f>'Pivot Tables'!$D$16:$D$17</c:f>
              <c:strCache>
                <c:ptCount val="1"/>
                <c:pt idx="0">
                  <c:v>Average of Average Session Time (Minutes)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Tables'!$A$18:$A$25</c:f>
              <c:strCache>
                <c:ptCount val="7"/>
                <c:pt idx="0">
                  <c:v>CPC</c:v>
                </c:pt>
                <c:pt idx="1">
                  <c:v>Email</c:v>
                </c:pt>
                <c:pt idx="2">
                  <c:v>Email </c:v>
                </c:pt>
                <c:pt idx="3">
                  <c:v>none</c:v>
                </c:pt>
                <c:pt idx="4">
                  <c:v>Organic</c:v>
                </c:pt>
                <c:pt idx="5">
                  <c:v>Organic </c:v>
                </c:pt>
                <c:pt idx="6">
                  <c:v>Referral</c:v>
                </c:pt>
              </c:strCache>
            </c:strRef>
          </c:cat>
          <c:val>
            <c:numRef>
              <c:f>'Pivot Tables'!$D$18:$D$25</c:f>
              <c:numCache>
                <c:formatCode>0.00</c:formatCode>
                <c:ptCount val="7"/>
                <c:pt idx="0">
                  <c:v>27.30270906512774</c:v>
                </c:pt>
                <c:pt idx="1">
                  <c:v>24.11524448897126</c:v>
                </c:pt>
                <c:pt idx="2">
                  <c:v>35.584994601157888</c:v>
                </c:pt>
                <c:pt idx="3">
                  <c:v>31.913888060940057</c:v>
                </c:pt>
                <c:pt idx="4">
                  <c:v>18.736316388254249</c:v>
                </c:pt>
                <c:pt idx="5">
                  <c:v>22.9613180638956</c:v>
                </c:pt>
                <c:pt idx="6">
                  <c:v>27.218078969728172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06-41B1-AD17-604E9A5DE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141760"/>
        <c:axId val="538145368"/>
      </c:barChart>
      <c:catAx>
        <c:axId val="53814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45368"/>
        <c:crosses val="autoZero"/>
        <c:auto val="1"/>
        <c:lblAlgn val="ctr"/>
        <c:lblOffset val="100"/>
        <c:noMultiLvlLbl val="0"/>
      </c:catAx>
      <c:valAx>
        <c:axId val="53814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4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4</xdr:col>
      <xdr:colOff>290513</xdr:colOff>
      <xdr:row>22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276224</xdr:colOff>
      <xdr:row>5</xdr:row>
      <xdr:rowOff>9525</xdr:rowOff>
    </xdr:from>
    <xdr:to>
      <xdr:col>9</xdr:col>
      <xdr:colOff>47625</xdr:colOff>
      <xdr:row>22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4</xdr:col>
      <xdr:colOff>276225</xdr:colOff>
      <xdr:row>39</xdr:row>
      <xdr:rowOff>95251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276225</xdr:colOff>
      <xdr:row>22</xdr:row>
      <xdr:rowOff>0</xdr:rowOff>
    </xdr:from>
    <xdr:to>
      <xdr:col>9</xdr:col>
      <xdr:colOff>38101</xdr:colOff>
      <xdr:row>39</xdr:row>
      <xdr:rowOff>85725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raining 103" refreshedDate="46049.571781250001" createdVersion="8" refreshedVersion="6" minRefreshableVersion="3" recordCount="100">
  <cacheSource type="worksheet">
    <worksheetSource name="Table4"/>
  </cacheSource>
  <cacheFields count="9">
    <cacheField name="User" numFmtId="0">
      <sharedItems/>
    </cacheField>
    <cacheField name="Age" numFmtId="1">
      <sharedItems containsSemiMixedTypes="0" containsString="0" containsNumber="1" containsInteger="1" minValue="17" maxValue="89"/>
    </cacheField>
    <cacheField name="Age in Rane" numFmtId="1">
      <sharedItems count="7">
        <s v="35–44"/>
        <s v="45–54"/>
        <s v="55–64"/>
        <s v="25–34"/>
        <s v="18–24"/>
        <s v="75–89"/>
        <s v="&lt;18"/>
      </sharedItems>
    </cacheField>
    <cacheField name="Site" numFmtId="0">
      <sharedItems count="3">
        <s v="JumpUp"/>
        <s v="StartFresh"/>
        <s v="HealthWise"/>
      </sharedItems>
    </cacheField>
    <cacheField name="Average Session Time (Minutes)" numFmtId="2">
      <sharedItems containsSemiMixedTypes="0" containsString="0" containsNumber="1" minValue="6.8517822859816002" maxValue="43.755353382465081"/>
    </cacheField>
    <cacheField name="Interactions this Month" numFmtId="1">
      <sharedItems containsSemiMixedTypes="0" containsString="0" containsNumber="1" containsInteger="1" minValue="1" maxValue="10"/>
    </cacheField>
    <cacheField name="Device" numFmtId="49">
      <sharedItems count="2">
        <s v="Mobile"/>
        <s v="Desktop"/>
      </sharedItems>
    </cacheField>
    <cacheField name="New/Returning" numFmtId="49">
      <sharedItems count="2">
        <s v="N"/>
        <s v="R"/>
      </sharedItems>
    </cacheField>
    <cacheField name="Source" numFmtId="49">
      <sharedItems count="7">
        <s v="Organic"/>
        <s v="Referral"/>
        <s v="CPC"/>
        <s v="Email"/>
        <s v="Email "/>
        <s v="Organic "/>
        <s v="no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Gouldy"/>
    <n v="38"/>
    <x v="0"/>
    <x v="0"/>
    <n v="32.885549344620301"/>
    <n v="9"/>
    <x v="0"/>
    <x v="0"/>
    <x v="0"/>
  </r>
  <r>
    <s v="Carr"/>
    <n v="41"/>
    <x v="0"/>
    <x v="1"/>
    <n v="12.770629434697391"/>
    <n v="8"/>
    <x v="1"/>
    <x v="0"/>
    <x v="1"/>
  </r>
  <r>
    <s v="Bishop"/>
    <n v="53"/>
    <x v="1"/>
    <x v="2"/>
    <n v="32.613915861967619"/>
    <n v="1"/>
    <x v="1"/>
    <x v="1"/>
    <x v="1"/>
  </r>
  <r>
    <s v="Clements"/>
    <n v="63"/>
    <x v="2"/>
    <x v="2"/>
    <n v="37.047458797722904"/>
    <n v="4"/>
    <x v="1"/>
    <x v="0"/>
    <x v="1"/>
  </r>
  <r>
    <s v="Cortez"/>
    <n v="34"/>
    <x v="3"/>
    <x v="0"/>
    <n v="19.85211490119007"/>
    <n v="10"/>
    <x v="1"/>
    <x v="0"/>
    <x v="1"/>
  </r>
  <r>
    <s v="Slater"/>
    <n v="45"/>
    <x v="1"/>
    <x v="1"/>
    <n v="36.454002512321637"/>
    <n v="9"/>
    <x v="1"/>
    <x v="1"/>
    <x v="1"/>
  </r>
  <r>
    <s v="Short"/>
    <n v="60"/>
    <x v="2"/>
    <x v="2"/>
    <n v="41.083167481630298"/>
    <n v="1"/>
    <x v="1"/>
    <x v="0"/>
    <x v="1"/>
  </r>
  <r>
    <s v="Hopkins"/>
    <n v="41"/>
    <x v="0"/>
    <x v="1"/>
    <n v="24.205045498700699"/>
    <n v="7"/>
    <x v="1"/>
    <x v="0"/>
    <x v="1"/>
  </r>
  <r>
    <s v="Cardenas"/>
    <n v="48"/>
    <x v="1"/>
    <x v="1"/>
    <n v="28.45378861594714"/>
    <n v="5"/>
    <x v="0"/>
    <x v="0"/>
    <x v="1"/>
  </r>
  <r>
    <s v="Jensen"/>
    <n v="27"/>
    <x v="3"/>
    <x v="1"/>
    <n v="14.598933194405801"/>
    <n v="1"/>
    <x v="0"/>
    <x v="0"/>
    <x v="1"/>
  </r>
  <r>
    <s v="Morris"/>
    <n v="19"/>
    <x v="4"/>
    <x v="0"/>
    <n v="38.378935235319062"/>
    <n v="7"/>
    <x v="1"/>
    <x v="1"/>
    <x v="2"/>
  </r>
  <r>
    <s v="Mckee"/>
    <n v="32"/>
    <x v="3"/>
    <x v="2"/>
    <n v="33.568076681644378"/>
    <n v="8"/>
    <x v="1"/>
    <x v="1"/>
    <x v="2"/>
  </r>
  <r>
    <s v="Obrien"/>
    <n v="26"/>
    <x v="3"/>
    <x v="0"/>
    <n v="21.076427606877719"/>
    <n v="6"/>
    <x v="1"/>
    <x v="1"/>
    <x v="1"/>
  </r>
  <r>
    <s v="Moodyblue"/>
    <n v="32"/>
    <x v="3"/>
    <x v="0"/>
    <n v="6.8517822859816002"/>
    <n v="5"/>
    <x v="1"/>
    <x v="0"/>
    <x v="1"/>
  </r>
  <r>
    <s v="Lindsay"/>
    <n v="23"/>
    <x v="4"/>
    <x v="2"/>
    <n v="41.216611285172782"/>
    <n v="10"/>
    <x v="1"/>
    <x v="1"/>
    <x v="1"/>
  </r>
  <r>
    <s v="Osborne"/>
    <n v="32"/>
    <x v="3"/>
    <x v="1"/>
    <n v="18.271245837868999"/>
    <n v="7"/>
    <x v="0"/>
    <x v="1"/>
    <x v="1"/>
  </r>
  <r>
    <s v="Burch"/>
    <n v="78"/>
    <x v="5"/>
    <x v="1"/>
    <n v="19.756960024024728"/>
    <n v="3"/>
    <x v="1"/>
    <x v="0"/>
    <x v="1"/>
  </r>
  <r>
    <s v="Velasquez"/>
    <n v="43"/>
    <x v="0"/>
    <x v="1"/>
    <n v="40.439363063005153"/>
    <n v="6"/>
    <x v="1"/>
    <x v="0"/>
    <x v="2"/>
  </r>
  <r>
    <s v="Mccullough"/>
    <n v="22"/>
    <x v="4"/>
    <x v="0"/>
    <n v="22.803831593459929"/>
    <n v="1"/>
    <x v="1"/>
    <x v="0"/>
    <x v="0"/>
  </r>
  <r>
    <s v="Zamora"/>
    <n v="27"/>
    <x v="3"/>
    <x v="1"/>
    <n v="7.5692332225880001"/>
    <n v="5"/>
    <x v="1"/>
    <x v="1"/>
    <x v="0"/>
  </r>
  <r>
    <s v="Rosario"/>
    <n v="18"/>
    <x v="4"/>
    <x v="0"/>
    <n v="19.48114187573151"/>
    <n v="7"/>
    <x v="1"/>
    <x v="0"/>
    <x v="1"/>
  </r>
  <r>
    <s v="Estrada"/>
    <n v="46"/>
    <x v="1"/>
    <x v="1"/>
    <n v="24.277270304047342"/>
    <n v="9"/>
    <x v="1"/>
    <x v="1"/>
    <x v="1"/>
  </r>
  <r>
    <s v="Crawford"/>
    <n v="41"/>
    <x v="0"/>
    <x v="2"/>
    <n v="35.88660137849881"/>
    <n v="6"/>
    <x v="1"/>
    <x v="0"/>
    <x v="1"/>
  </r>
  <r>
    <s v="Watson"/>
    <n v="64"/>
    <x v="2"/>
    <x v="1"/>
    <n v="38.264883790394101"/>
    <n v="6"/>
    <x v="1"/>
    <x v="1"/>
    <x v="1"/>
  </r>
  <r>
    <s v="Nicholson"/>
    <n v="43"/>
    <x v="0"/>
    <x v="2"/>
    <n v="37.523875702886301"/>
    <n v="8"/>
    <x v="1"/>
    <x v="0"/>
    <x v="1"/>
  </r>
  <r>
    <s v="Prince"/>
    <n v="45"/>
    <x v="1"/>
    <x v="1"/>
    <n v="25.719687418928419"/>
    <n v="3"/>
    <x v="1"/>
    <x v="1"/>
    <x v="1"/>
  </r>
  <r>
    <s v="Vega"/>
    <n v="54"/>
    <x v="1"/>
    <x v="2"/>
    <n v="41.027345709241978"/>
    <n v="3"/>
    <x v="1"/>
    <x v="1"/>
    <x v="1"/>
  </r>
  <r>
    <s v="Boyd"/>
    <n v="89"/>
    <x v="5"/>
    <x v="0"/>
    <n v="17.79898571467616"/>
    <n v="1"/>
    <x v="1"/>
    <x v="0"/>
    <x v="1"/>
  </r>
  <r>
    <s v="Lopez"/>
    <n v="25"/>
    <x v="3"/>
    <x v="0"/>
    <n v="18.55408902598862"/>
    <n v="5"/>
    <x v="1"/>
    <x v="0"/>
    <x v="1"/>
  </r>
  <r>
    <s v="Lowe"/>
    <n v="39"/>
    <x v="0"/>
    <x v="1"/>
    <n v="23.848461691209"/>
    <n v="8"/>
    <x v="1"/>
    <x v="0"/>
    <x v="3"/>
  </r>
  <r>
    <s v="Sparks"/>
    <n v="32"/>
    <x v="3"/>
    <x v="0"/>
    <n v="19.734761867508698"/>
    <n v="3"/>
    <x v="1"/>
    <x v="0"/>
    <x v="2"/>
  </r>
  <r>
    <s v="Cannoncreek"/>
    <n v="23"/>
    <x v="4"/>
    <x v="1"/>
    <n v="42.303983996521289"/>
    <n v="10"/>
    <x v="1"/>
    <x v="1"/>
    <x v="1"/>
  </r>
  <r>
    <s v="Gonzales"/>
    <n v="56"/>
    <x v="2"/>
    <x v="0"/>
    <n v="24.025856595678089"/>
    <n v="9"/>
    <x v="1"/>
    <x v="0"/>
    <x v="2"/>
  </r>
  <r>
    <s v="Perry"/>
    <n v="26"/>
    <x v="3"/>
    <x v="1"/>
    <n v="9.9184819564472999"/>
    <n v="7"/>
    <x v="1"/>
    <x v="1"/>
    <x v="3"/>
  </r>
  <r>
    <s v="Moreno"/>
    <n v="37"/>
    <x v="0"/>
    <x v="2"/>
    <n v="31.735386651978711"/>
    <n v="5"/>
    <x v="1"/>
    <x v="1"/>
    <x v="4"/>
  </r>
  <r>
    <s v="Duke"/>
    <n v="26"/>
    <x v="3"/>
    <x v="1"/>
    <n v="32.826014793724049"/>
    <n v="10"/>
    <x v="1"/>
    <x v="1"/>
    <x v="1"/>
  </r>
  <r>
    <s v="Foreman"/>
    <n v="40"/>
    <x v="0"/>
    <x v="1"/>
    <n v="15.3428089890389"/>
    <n v="9"/>
    <x v="1"/>
    <x v="0"/>
    <x v="1"/>
  </r>
  <r>
    <s v="Morrison"/>
    <n v="19"/>
    <x v="4"/>
    <x v="2"/>
    <n v="36.786246952886898"/>
    <n v="10"/>
    <x v="0"/>
    <x v="1"/>
    <x v="1"/>
  </r>
  <r>
    <s v="Singleton"/>
    <n v="38"/>
    <x v="0"/>
    <x v="0"/>
    <n v="19.862430802250721"/>
    <n v="4"/>
    <x v="1"/>
    <x v="1"/>
    <x v="1"/>
  </r>
  <r>
    <s v="Powell"/>
    <n v="61"/>
    <x v="2"/>
    <x v="1"/>
    <n v="28.3623221768419"/>
    <n v="9"/>
    <x v="1"/>
    <x v="0"/>
    <x v="3"/>
  </r>
  <r>
    <s v="Byrdy"/>
    <n v="31"/>
    <x v="3"/>
    <x v="0"/>
    <n v="19.31379388111689"/>
    <n v="4"/>
    <x v="1"/>
    <x v="0"/>
    <x v="2"/>
  </r>
  <r>
    <s v="Maddox"/>
    <n v="44"/>
    <x v="0"/>
    <x v="1"/>
    <n v="18.449021870195001"/>
    <n v="10"/>
    <x v="1"/>
    <x v="0"/>
    <x v="1"/>
  </r>
  <r>
    <s v="Miller"/>
    <n v="57"/>
    <x v="2"/>
    <x v="2"/>
    <n v="24.93870330734746"/>
    <n v="8"/>
    <x v="1"/>
    <x v="0"/>
    <x v="1"/>
  </r>
  <r>
    <s v="Rojas"/>
    <n v="39"/>
    <x v="0"/>
    <x v="2"/>
    <n v="35.144413286142289"/>
    <n v="10"/>
    <x v="0"/>
    <x v="1"/>
    <x v="1"/>
  </r>
  <r>
    <s v="Merritt"/>
    <n v="33"/>
    <x v="3"/>
    <x v="1"/>
    <n v="16.014367075476599"/>
    <n v="4"/>
    <x v="1"/>
    <x v="0"/>
    <x v="1"/>
  </r>
  <r>
    <s v="Barnes"/>
    <n v="25"/>
    <x v="3"/>
    <x v="0"/>
    <n v="23.2130636370932"/>
    <n v="6"/>
    <x v="0"/>
    <x v="0"/>
    <x v="1"/>
  </r>
  <r>
    <s v="Bolton"/>
    <n v="22"/>
    <x v="4"/>
    <x v="0"/>
    <n v="31.3473370097045"/>
    <n v="4"/>
    <x v="1"/>
    <x v="0"/>
    <x v="1"/>
  </r>
  <r>
    <s v="Day"/>
    <n v="37"/>
    <x v="0"/>
    <x v="1"/>
    <n v="11.121253083965509"/>
    <n v="7"/>
    <x v="1"/>
    <x v="0"/>
    <x v="1"/>
  </r>
  <r>
    <s v="Petty"/>
    <n v="44"/>
    <x v="0"/>
    <x v="2"/>
    <n v="37.130885649335802"/>
    <n v="9"/>
    <x v="1"/>
    <x v="1"/>
    <x v="1"/>
  </r>
  <r>
    <s v="Perkins"/>
    <n v="56"/>
    <x v="2"/>
    <x v="1"/>
    <n v="10.2911598806757"/>
    <n v="8"/>
    <x v="0"/>
    <x v="0"/>
    <x v="1"/>
  </r>
  <r>
    <s v="Nash"/>
    <n v="45"/>
    <x v="1"/>
    <x v="2"/>
    <n v="17.316560145487109"/>
    <n v="6"/>
    <x v="1"/>
    <x v="1"/>
    <x v="1"/>
  </r>
  <r>
    <s v="Anthony"/>
    <n v="26"/>
    <x v="3"/>
    <x v="1"/>
    <n v="22.9613180638956"/>
    <n v="7"/>
    <x v="1"/>
    <x v="0"/>
    <x v="5"/>
  </r>
  <r>
    <s v="Rosales"/>
    <n v="24"/>
    <x v="4"/>
    <x v="0"/>
    <n v="18.391804242589831"/>
    <n v="6"/>
    <x v="1"/>
    <x v="1"/>
    <x v="3"/>
  </r>
  <r>
    <s v="Kline"/>
    <n v="42"/>
    <x v="0"/>
    <x v="0"/>
    <n v="8.5020765695894998"/>
    <n v="8"/>
    <x v="1"/>
    <x v="0"/>
    <x v="3"/>
  </r>
  <r>
    <s v="Glass"/>
    <n v="19"/>
    <x v="4"/>
    <x v="0"/>
    <n v="10.492881669734491"/>
    <n v="6"/>
    <x v="1"/>
    <x v="0"/>
    <x v="2"/>
  </r>
  <r>
    <s v="Cannon"/>
    <n v="42"/>
    <x v="0"/>
    <x v="1"/>
    <n v="22.59754160307077"/>
    <n v="7"/>
    <x v="1"/>
    <x v="0"/>
    <x v="1"/>
  </r>
  <r>
    <s v="Mclean"/>
    <n v="31"/>
    <x v="3"/>
    <x v="2"/>
    <n v="22.584238635981301"/>
    <n v="4"/>
    <x v="1"/>
    <x v="0"/>
    <x v="1"/>
  </r>
  <r>
    <s v="Campbell"/>
    <n v="51"/>
    <x v="1"/>
    <x v="1"/>
    <n v="33.50750232562163"/>
    <n v="4"/>
    <x v="1"/>
    <x v="1"/>
    <x v="6"/>
  </r>
  <r>
    <s v="Finley"/>
    <n v="37"/>
    <x v="0"/>
    <x v="2"/>
    <n v="18.040858248770771"/>
    <n v="6"/>
    <x v="1"/>
    <x v="1"/>
    <x v="0"/>
  </r>
  <r>
    <s v="Lambert"/>
    <n v="25"/>
    <x v="3"/>
    <x v="1"/>
    <n v="31.684957433879969"/>
    <n v="10"/>
    <x v="1"/>
    <x v="0"/>
    <x v="3"/>
  </r>
  <r>
    <s v="Buck"/>
    <n v="33"/>
    <x v="3"/>
    <x v="0"/>
    <n v="30.312939079910571"/>
    <n v="5"/>
    <x v="1"/>
    <x v="1"/>
    <x v="2"/>
  </r>
  <r>
    <s v="Delacruz"/>
    <n v="37"/>
    <x v="0"/>
    <x v="1"/>
    <n v="33.975690891424861"/>
    <n v="7"/>
    <x v="1"/>
    <x v="0"/>
    <x v="1"/>
  </r>
  <r>
    <s v="Gill"/>
    <n v="36"/>
    <x v="0"/>
    <x v="2"/>
    <n v="33.7869670108254"/>
    <n v="2"/>
    <x v="1"/>
    <x v="0"/>
    <x v="1"/>
  </r>
  <r>
    <s v="Sargent"/>
    <n v="31"/>
    <x v="3"/>
    <x v="1"/>
    <n v="34.127278695586853"/>
    <n v="9"/>
    <x v="1"/>
    <x v="1"/>
    <x v="3"/>
  </r>
  <r>
    <s v="Medina"/>
    <n v="45"/>
    <x v="1"/>
    <x v="0"/>
    <n v="34.38353483439721"/>
    <n v="1"/>
    <x v="1"/>
    <x v="0"/>
    <x v="1"/>
  </r>
  <r>
    <s v="Wilder"/>
    <n v="52"/>
    <x v="1"/>
    <x v="1"/>
    <n v="24.505231035506998"/>
    <n v="4"/>
    <x v="0"/>
    <x v="1"/>
    <x v="1"/>
  </r>
  <r>
    <s v="Ellis"/>
    <n v="17"/>
    <x v="6"/>
    <x v="1"/>
    <n v="34.820164582867498"/>
    <n v="9"/>
    <x v="1"/>
    <x v="1"/>
    <x v="1"/>
  </r>
  <r>
    <s v="Holden"/>
    <n v="44"/>
    <x v="0"/>
    <x v="1"/>
    <n v="18.055710122367199"/>
    <n v="3"/>
    <x v="1"/>
    <x v="1"/>
    <x v="1"/>
  </r>
  <r>
    <s v="Travis"/>
    <n v="42"/>
    <x v="0"/>
    <x v="1"/>
    <n v="26.882211256680929"/>
    <n v="8"/>
    <x v="1"/>
    <x v="1"/>
    <x v="1"/>
  </r>
  <r>
    <s v="Mcfadden"/>
    <n v="60"/>
    <x v="2"/>
    <x v="2"/>
    <n v="40.777256863256603"/>
    <n v="1"/>
    <x v="1"/>
    <x v="1"/>
    <x v="1"/>
  </r>
  <r>
    <s v="Clayton"/>
    <n v="58"/>
    <x v="2"/>
    <x v="1"/>
    <n v="22.07233335404311"/>
    <n v="10"/>
    <x v="1"/>
    <x v="0"/>
    <x v="1"/>
  </r>
  <r>
    <s v="Grimes"/>
    <n v="42"/>
    <x v="0"/>
    <x v="1"/>
    <n v="28.010961410019888"/>
    <n v="5"/>
    <x v="1"/>
    <x v="0"/>
    <x v="3"/>
  </r>
  <r>
    <s v="Ramos"/>
    <n v="51"/>
    <x v="1"/>
    <x v="2"/>
    <n v="42.679984777863687"/>
    <n v="7"/>
    <x v="0"/>
    <x v="1"/>
    <x v="1"/>
  </r>
  <r>
    <s v="Pratt"/>
    <n v="54"/>
    <x v="1"/>
    <x v="1"/>
    <n v="38.429882958056652"/>
    <n v="9"/>
    <x v="0"/>
    <x v="1"/>
    <x v="2"/>
  </r>
  <r>
    <s v="Bray"/>
    <n v="36"/>
    <x v="0"/>
    <x v="1"/>
    <n v="25.12809338285042"/>
    <n v="7"/>
    <x v="1"/>
    <x v="0"/>
    <x v="2"/>
  </r>
  <r>
    <s v="Velazquez"/>
    <n v="28"/>
    <x v="3"/>
    <x v="2"/>
    <n v="23.18772628073194"/>
    <n v="6"/>
    <x v="1"/>
    <x v="1"/>
    <x v="0"/>
  </r>
  <r>
    <s v="Tyson"/>
    <n v="37"/>
    <x v="0"/>
    <x v="1"/>
    <n v="37.611280227429177"/>
    <n v="10"/>
    <x v="1"/>
    <x v="0"/>
    <x v="1"/>
  </r>
  <r>
    <s v="Henderson"/>
    <n v="24"/>
    <x v="4"/>
    <x v="0"/>
    <n v="29.964764164907351"/>
    <n v="2"/>
    <x v="1"/>
    <x v="0"/>
    <x v="1"/>
  </r>
  <r>
    <s v="Tucker"/>
    <n v="18"/>
    <x v="4"/>
    <x v="2"/>
    <n v="43.755353382465081"/>
    <n v="2"/>
    <x v="1"/>
    <x v="1"/>
    <x v="6"/>
  </r>
  <r>
    <s v="Joyce"/>
    <n v="59"/>
    <x v="2"/>
    <x v="1"/>
    <n v="18.249818914201771"/>
    <n v="7"/>
    <x v="1"/>
    <x v="1"/>
    <x v="0"/>
  </r>
  <r>
    <s v="Thomas"/>
    <n v="40"/>
    <x v="0"/>
    <x v="2"/>
    <n v="20.06374884993506"/>
    <n v="1"/>
    <x v="1"/>
    <x v="1"/>
    <x v="0"/>
  </r>
  <r>
    <s v="Curtis"/>
    <n v="22"/>
    <x v="4"/>
    <x v="1"/>
    <n v="34.702426149173057"/>
    <n v="10"/>
    <x v="1"/>
    <x v="0"/>
    <x v="2"/>
  </r>
  <r>
    <s v="Bright"/>
    <n v="22"/>
    <x v="4"/>
    <x v="0"/>
    <n v="13.105498217535439"/>
    <n v="5"/>
    <x v="1"/>
    <x v="0"/>
    <x v="2"/>
  </r>
  <r>
    <s v="Wells"/>
    <n v="37"/>
    <x v="0"/>
    <x v="1"/>
    <n v="11.41371879429702"/>
    <n v="6"/>
    <x v="1"/>
    <x v="0"/>
    <x v="3"/>
  </r>
  <r>
    <s v="Marshall"/>
    <n v="31"/>
    <x v="3"/>
    <x v="2"/>
    <n v="39.669080120597698"/>
    <n v="4"/>
    <x v="1"/>
    <x v="1"/>
    <x v="1"/>
  </r>
  <r>
    <s v="Gross"/>
    <n v="41"/>
    <x v="0"/>
    <x v="2"/>
    <n v="11.100371913322491"/>
    <n v="10"/>
    <x v="1"/>
    <x v="0"/>
    <x v="1"/>
  </r>
  <r>
    <s v="Conradie"/>
    <n v="30"/>
    <x v="3"/>
    <x v="1"/>
    <n v="25.80523628368918"/>
    <n v="3"/>
    <x v="1"/>
    <x v="1"/>
    <x v="1"/>
  </r>
  <r>
    <s v="Vaughan"/>
    <n v="36"/>
    <x v="0"/>
    <x v="2"/>
    <n v="25.428445311181029"/>
    <n v="5"/>
    <x v="1"/>
    <x v="0"/>
    <x v="1"/>
  </r>
  <r>
    <s v="Roberson"/>
    <n v="33"/>
    <x v="3"/>
    <x v="1"/>
    <n v="20.903042954313879"/>
    <n v="5"/>
    <x v="0"/>
    <x v="1"/>
    <x v="6"/>
  </r>
  <r>
    <s v="Mueller"/>
    <n v="47"/>
    <x v="1"/>
    <x v="1"/>
    <n v="14.73595111580161"/>
    <n v="8"/>
    <x v="0"/>
    <x v="0"/>
    <x v="0"/>
  </r>
  <r>
    <s v="Harmon"/>
    <n v="20"/>
    <x v="4"/>
    <x v="2"/>
    <n v="38.350930824995878"/>
    <n v="7"/>
    <x v="1"/>
    <x v="1"/>
    <x v="6"/>
  </r>
  <r>
    <s v="Hale"/>
    <n v="21"/>
    <x v="4"/>
    <x v="0"/>
    <n v="25.750474020386829"/>
    <n v="7"/>
    <x v="1"/>
    <x v="0"/>
    <x v="1"/>
  </r>
  <r>
    <s v="Sykes"/>
    <n v="22"/>
    <x v="4"/>
    <x v="0"/>
    <n v="40.187027704773953"/>
    <n v="10"/>
    <x v="1"/>
    <x v="1"/>
    <x v="3"/>
  </r>
  <r>
    <s v="Patel"/>
    <n v="22"/>
    <x v="4"/>
    <x v="0"/>
    <n v="39.434602550337061"/>
    <n v="5"/>
    <x v="0"/>
    <x v="0"/>
    <x v="4"/>
  </r>
  <r>
    <s v="Garza"/>
    <n v="26"/>
    <x v="3"/>
    <x v="1"/>
    <n v="30.820598703448649"/>
    <n v="8"/>
    <x v="1"/>
    <x v="0"/>
    <x v="3"/>
  </r>
  <r>
    <s v="Fischer"/>
    <n v="32"/>
    <x v="3"/>
    <x v="1"/>
    <n v="41.323848495686597"/>
    <n v="9"/>
    <x v="1"/>
    <x v="0"/>
    <x v="1"/>
  </r>
  <r>
    <s v="Lambert"/>
    <n v="32"/>
    <x v="3"/>
    <x v="0"/>
    <n v="14.63313044429953"/>
    <n v="2"/>
    <x v="1"/>
    <x v="0"/>
    <x v="0"/>
  </r>
  <r>
    <s v="Manning"/>
    <n v="34"/>
    <x v="3"/>
    <x v="2"/>
    <n v="15.19331586813359"/>
    <n v="1"/>
    <x v="1"/>
    <x v="0"/>
    <x v="0"/>
  </r>
  <r>
    <s v="Fuller"/>
    <n v="19"/>
    <x v="4"/>
    <x v="1"/>
    <n v="28.538811501097971"/>
    <n v="9"/>
    <x v="0"/>
    <x v="1"/>
    <x v="6"/>
  </r>
  <r>
    <s v="Scott"/>
    <n v="60"/>
    <x v="2"/>
    <x v="2"/>
    <n v="26.42768737714594"/>
    <n v="8"/>
    <x v="1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rowHeaderCaption="Devices">
  <location ref="A10:D14" firstHeaderRow="1" firstDataRow="2" firstDataCol="1"/>
  <pivotFields count="9">
    <pivotField dataField="1" showAll="0"/>
    <pivotField numFmtId="1" showAll="0"/>
    <pivotField showAll="0"/>
    <pivotField showAll="0"/>
    <pivotField dataField="1" numFmtId="2" showAll="0"/>
    <pivotField dataField="1" numFmtId="1"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" fld="0" subtotal="count" showDataAs="percentOfCol" baseField="5" baseItem="0" numFmtId="10"/>
    <dataField name="Avg Interactions" fld="5" subtotal="average" baseField="5" baseItem="0" numFmtId="1"/>
    <dataField name="Avg Session Time" fld="4" subtotal="average" baseField="5" baseItem="0" numFmtId="2"/>
  </dataFields>
  <formats count="20">
    <format dxfId="111">
      <pivotArea collapsedLevelsAreSubtotals="1" fieldPosition="0">
        <references count="2">
          <reference field="4294967294" count="1" selected="0">
            <x v="0"/>
          </reference>
          <reference field="6" count="1">
            <x v="0"/>
          </reference>
        </references>
      </pivotArea>
    </format>
    <format dxfId="112">
      <pivotArea collapsedLevelsAreSubtotals="1" fieldPosition="0">
        <references count="2">
          <reference field="4294967294" count="1" selected="0">
            <x v="0"/>
          </reference>
          <reference field="6" count="1">
            <x v="1"/>
          </reference>
        </references>
      </pivotArea>
    </format>
    <format dxfId="113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14">
      <pivotArea collapsedLevelsAreSubtotals="1" fieldPosition="0">
        <references count="1">
          <reference field="6" count="0"/>
        </references>
      </pivotArea>
    </format>
    <format dxfId="115">
      <pivotArea field="6" type="button" dataOnly="0" labelOnly="1" outline="0" axis="axisRow" fieldPosition="0"/>
    </format>
    <format dxfId="116">
      <pivotArea dataOnly="0" labelOnly="1" fieldPosition="0">
        <references count="1">
          <reference field="6" count="0"/>
        </references>
      </pivotArea>
    </format>
    <format dxfId="1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8">
      <pivotArea grandRow="1" outline="0" collapsedLevelsAreSubtotals="1" fieldPosition="0"/>
    </format>
    <format dxfId="119">
      <pivotArea dataOnly="0" labelOnly="1" grandRow="1" outline="0" fieldPosition="0"/>
    </format>
    <format dxfId="120">
      <pivotArea dataOnly="0" labelOnly="1" grandRow="1" outline="0" fieldPosition="0"/>
    </format>
    <format dxfId="121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2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3">
      <pivotArea type="all" dataOnly="0" outline="0" fieldPosition="0"/>
    </format>
    <format dxfId="124">
      <pivotArea outline="0" collapsedLevelsAreSubtotals="1" fieldPosition="0"/>
    </format>
    <format dxfId="125">
      <pivotArea field="6" type="button" dataOnly="0" labelOnly="1" outline="0" axis="axisRow" fieldPosition="0"/>
    </format>
    <format dxfId="126">
      <pivotArea dataOnly="0" labelOnly="1" fieldPosition="0">
        <references count="1">
          <reference field="6" count="0"/>
        </references>
      </pivotArea>
    </format>
    <format dxfId="127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9">
      <pivotArea field="6" type="button" dataOnly="0" labelOnly="1" outline="0" axis="axisRow" fieldPosition="0"/>
    </format>
    <format dxfId="1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7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3" rowHeaderCaption="Sites">
  <location ref="A3:C8" firstHeaderRow="1" firstDataRow="2" firstDataCol="1"/>
  <pivotFields count="9">
    <pivotField showAll="0"/>
    <pivotField numFmtId="1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2" showAll="0"/>
    <pivotField dataField="1" numFmtId="1" showAll="0"/>
    <pivotField showAll="0"/>
    <pivotField showAll="0"/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erage Session Time (Minutes)" fld="4" subtotal="average" baseField="2" baseItem="0" numFmtId="2"/>
    <dataField name="Average of Interactions this Month" fld="5" subtotal="average" baseField="2" baseItem="0" numFmtId="1"/>
  </dataFields>
  <formats count="18">
    <format dxfId="93">
      <pivotArea collapsedLevelsAreSubtotals="1" fieldPosition="0">
        <references count="1">
          <reference field="3" count="0"/>
        </references>
      </pivotArea>
    </format>
    <format dxfId="94">
      <pivotArea field="3" type="button" dataOnly="0" labelOnly="1" outline="0" axis="axisRow" fieldPosition="0"/>
    </format>
    <format dxfId="95">
      <pivotArea dataOnly="0" labelOnly="1" fieldPosition="0">
        <references count="1">
          <reference field="3" count="0"/>
        </references>
      </pivotArea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grandRow="1" outline="0" collapsedLevelsAreSubtotals="1" fieldPosition="0"/>
    </format>
    <format dxfId="98">
      <pivotArea dataOnly="0" labelOnly="1" grandRow="1" outline="0" fieldPosition="0"/>
    </format>
    <format dxfId="99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0">
      <pivotArea grandRow="1" outline="0" collapsedLevelsAreSubtotals="1" fieldPosition="0"/>
    </format>
    <format dxfId="101">
      <pivotArea dataOnly="0" labelOnly="1" grandRow="1" outline="0" fieldPosition="0"/>
    </format>
    <format dxfId="102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3">
      <pivotArea type="all" dataOnly="0" outline="0" fieldPosition="0"/>
    </format>
    <format dxfId="104">
      <pivotArea outline="0" collapsedLevelsAreSubtotals="1" fieldPosition="0"/>
    </format>
    <format dxfId="105">
      <pivotArea field="3" type="button" dataOnly="0" labelOnly="1" outline="0" axis="axisRow" fieldPosition="0"/>
    </format>
    <format dxfId="106">
      <pivotArea dataOnly="0" labelOnly="1" fieldPosition="0">
        <references count="1">
          <reference field="3" count="0"/>
        </references>
      </pivotArea>
    </format>
    <format dxfId="107">
      <pivotArea dataOnly="0" labelOnly="1" grandRow="1" outline="0" fieldPosition="0"/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field="3" type="button" dataOnly="0" labelOnly="1" outline="0" axis="axisRow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9" rowHeaderCaption="Sources">
  <location ref="A16:D25" firstHeaderRow="1" firstDataRow="2" firstDataCol="1"/>
  <pivotFields count="9">
    <pivotField dataField="1" showAll="0"/>
    <pivotField numFmtId="1" showAll="0"/>
    <pivotField showAll="0"/>
    <pivotField showAll="0"/>
    <pivotField dataField="1" numFmtId="2" showAll="0"/>
    <pivotField dataField="1" numFmtId="1" showAll="0"/>
    <pivotField showAll="0"/>
    <pivotField showAll="0"/>
    <pivotField axis="axisRow" showAll="0">
      <items count="8">
        <item x="2"/>
        <item x="3"/>
        <item x="4"/>
        <item x="6"/>
        <item x="0"/>
        <item x="5"/>
        <item x="1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User Count(%)" fld="0" subtotal="count" showDataAs="percentOfCol" baseField="8" baseItem="0" numFmtId="10"/>
    <dataField name="Average of Interactions this Month" fld="5" subtotal="average" baseField="8" baseItem="0" numFmtId="1"/>
    <dataField name="Average of Average Session Time (Minutes)" fld="4" subtotal="average" baseField="8" baseItem="0" numFmtId="2"/>
  </dataFields>
  <formats count="17">
    <format dxfId="76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77">
      <pivotArea field="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78">
      <pivotArea type="all" dataOnly="0" outline="0" fieldPosition="0"/>
    </format>
    <format dxfId="79">
      <pivotArea outline="0" collapsedLevelsAreSubtotals="1" fieldPosition="0"/>
    </format>
    <format dxfId="80">
      <pivotArea field="8" type="button" dataOnly="0" labelOnly="1" outline="0" axis="axisRow" fieldPosition="0"/>
    </format>
    <format dxfId="81">
      <pivotArea dataOnly="0" labelOnly="1" fieldPosition="0">
        <references count="1">
          <reference field="8" count="0"/>
        </references>
      </pivotArea>
    </format>
    <format dxfId="82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4">
      <pivotArea field="8" type="button" dataOnly="0" labelOnly="1" outline="0" axis="axisRow" fieldPosition="0"/>
    </format>
    <format dxfId="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7">
      <pivotArea type="all" dataOnly="0" outline="0" fieldPosition="0"/>
    </format>
    <format dxfId="88">
      <pivotArea outline="0" collapsedLevelsAreSubtotals="1" fieldPosition="0"/>
    </format>
    <format dxfId="89">
      <pivotArea field="8" type="button" dataOnly="0" labelOnly="1" outline="0" axis="axisRow" fieldPosition="0"/>
    </format>
    <format dxfId="90">
      <pivotArea dataOnly="0" labelOnly="1" fieldPosition="0">
        <references count="1">
          <reference field="8" count="0"/>
        </references>
      </pivotArea>
    </format>
    <format dxfId="91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7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5" rowHeaderCaption="Age Ranges" colHeaderCaption="Sites">
  <location ref="F10:N20" firstHeaderRow="1" firstDataRow="3" firstDataCol="1"/>
  <pivotFields count="9">
    <pivotField showAll="0"/>
    <pivotField numFmtId="1" showAll="0"/>
    <pivotField axis="axisRow" showAll="0">
      <items count="8">
        <item x="6"/>
        <item x="4"/>
        <item x="3"/>
        <item x="0"/>
        <item x="1"/>
        <item x="2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numFmtId="2" showAll="0"/>
    <pivotField dataField="1" numFmtI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Average Session Time (Minutes)" fld="4" subtotal="average" baseField="2" baseItem="0" numFmtId="2"/>
    <dataField name="Average of Interactions this Month" fld="5" subtotal="average" baseField="2" baseItem="0" numFmtId="1"/>
  </dataFields>
  <formats count="59">
    <format dxfId="17">
      <pivotArea collapsedLevelsAreSubtotals="1" fieldPosition="0">
        <references count="1">
          <reference field="2" count="0"/>
        </references>
      </pivotArea>
    </format>
    <format dxfId="18">
      <pivotArea dataOnly="0" labelOnly="1" fieldPosition="0">
        <references count="1">
          <reference field="3" count="0"/>
        </references>
      </pivotArea>
    </format>
    <format dxfId="1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2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26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27">
      <pivotArea dataOnly="0" labelOnly="1" fieldPosition="0">
        <references count="1">
          <reference field="3" count="1">
            <x v="2"/>
          </reference>
        </references>
      </pivotArea>
    </format>
    <format dxfId="28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29">
      <pivotArea dataOnly="0" labelOnly="1" fieldPosition="0">
        <references count="1">
          <reference field="3" count="1">
            <x v="2"/>
          </reference>
        </references>
      </pivotArea>
    </format>
    <format dxfId="30">
      <pivotArea collapsedLevelsAreSubtotals="1" fieldPosition="0">
        <references count="3">
          <reference field="4294967294" count="2" selected="0">
            <x v="0"/>
            <x v="1"/>
          </reference>
          <reference field="2" count="0"/>
          <reference field="3" count="1" selected="0">
            <x v="1"/>
          </reference>
        </references>
      </pivotArea>
    </format>
    <format dxfId="31">
      <pivotArea dataOnly="0" labelOnly="1" fieldPosition="0">
        <references count="1">
          <reference field="3" count="1">
            <x v="1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33">
      <pivotArea collapsedLevelsAreSubtotals="1" fieldPosition="0">
        <references count="3">
          <reference field="4294967294" count="2" selected="0">
            <x v="0"/>
            <x v="1"/>
          </reference>
          <reference field="2" count="0"/>
          <reference field="3" count="1" selected="0">
            <x v="2"/>
          </reference>
        </references>
      </pivotArea>
    </format>
    <format dxfId="34">
      <pivotArea dataOnly="0" labelOnly="1" fieldPosition="0">
        <references count="1">
          <reference field="3" count="1">
            <x v="2"/>
          </reference>
        </references>
      </pivotArea>
    </format>
    <format dxfId="3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36">
      <pivotArea collapsedLevelsAreSubtotals="1" fieldPosition="0">
        <references count="3">
          <reference field="4294967294" count="2" selected="0">
            <x v="0"/>
            <x v="1"/>
          </reference>
          <reference field="2" count="0"/>
          <reference field="3" count="1" selected="0">
            <x v="0"/>
          </reference>
        </references>
      </pivotArea>
    </format>
    <format dxfId="37">
      <pivotArea dataOnly="0" labelOnly="1" fieldPosition="0">
        <references count="1">
          <reference field="3" count="1">
            <x v="0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39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40">
      <pivotArea dataOnly="0" labelOnly="1" fieldPosition="0">
        <references count="1">
          <reference field="3" count="1">
            <x v="2"/>
          </reference>
        </references>
      </pivotArea>
    </format>
    <format dxfId="41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42">
      <pivotArea dataOnly="0" labelOnly="1" fieldPosition="0">
        <references count="1">
          <reference field="3" count="1">
            <x v="2"/>
          </reference>
        </references>
      </pivotArea>
    </format>
    <format dxfId="43">
      <pivotArea collapsedLevelsAreSubtotals="1" fieldPosition="0">
        <references count="3">
          <reference field="4294967294" count="2" selected="0">
            <x v="0"/>
            <x v="1"/>
          </reference>
          <reference field="2" count="0"/>
          <reference field="3" count="0" selected="0"/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4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50">
      <pivotArea field="3" grandRow="1" outline="0" collapsedLevelsAreSubtotals="1" axis="axisCol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51">
      <pivotArea field="3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3" count="0" selected="0"/>
        </references>
      </pivotArea>
    </format>
    <format dxfId="52">
      <pivotArea field="3" grandRow="1" outline="0" collapsedLevelsAreSubtotals="1" axis="axisCol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53">
      <pivotArea field="3" grandRow="1" outline="0" collapsedLevelsAreSubtotals="1" axis="axisCol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54">
      <pivotArea field="3" grandRow="1" outline="0" collapsedLevelsAreSubtotals="1" axis="axisCol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55">
      <pivotArea field="3" grandRow="1" outline="0" collapsedLevelsAreSubtotals="1" axis="axisCol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56">
      <pivotArea field="3" grandRow="1" outline="0" collapsedLevelsAreSubtotals="1" axis="axisCol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format>
    <format dxfId="57">
      <pivotArea field="3" grandRow="1" outline="0" collapsedLevelsAreSubtotals="1" axis="axisCol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format>
    <format dxfId="58">
      <pivotArea type="all" dataOnly="0" outline="0" fieldPosition="0"/>
    </format>
    <format dxfId="59">
      <pivotArea outline="0" collapsedLevelsAreSubtotals="1" fieldPosition="0"/>
    </format>
    <format dxfId="60">
      <pivotArea type="origin" dataOnly="0" labelOnly="1" outline="0" fieldPosition="0"/>
    </format>
    <format dxfId="61">
      <pivotArea field="3" type="button" dataOnly="0" labelOnly="1" outline="0" axis="axisCol" fieldPosition="0"/>
    </format>
    <format dxfId="62">
      <pivotArea field="-2" type="button" dataOnly="0" labelOnly="1" outline="0" axis="axisCol" fieldPosition="1"/>
    </format>
    <format dxfId="63">
      <pivotArea type="topRight" dataOnly="0" labelOnly="1" outline="0" fieldPosition="0"/>
    </format>
    <format dxfId="64">
      <pivotArea field="2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6">
      <pivotArea dataOnly="0" labelOnly="1" grandRow="1" outline="0" fieldPosition="0"/>
    </format>
    <format dxfId="67">
      <pivotArea dataOnly="0" labelOnly="1" fieldPosition="0">
        <references count="1">
          <reference field="3" count="0"/>
        </references>
      </pivotArea>
    </format>
    <format dxfId="6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9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0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1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7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7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75">
      <pivotArea field="3" type="button" dataOnly="0" labelOnly="1" outline="0" axis="axisCol" fieldPosition="0"/>
    </format>
  </formats>
  <chartFormats count="30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3" format="40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3" format="41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1" format="10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1" format="11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0" format="10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6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4" rowHeaderCaption="New(N)/Returning(R)">
  <location ref="F3:I7" firstHeaderRow="1" firstDataRow="2" firstDataCol="1"/>
  <pivotFields count="9">
    <pivotField dataField="1" showAll="0"/>
    <pivotField numFmtId="1" showAll="0"/>
    <pivotField showAll="0"/>
    <pivotField showAll="0"/>
    <pivotField dataField="1" numFmtId="2" showAll="0"/>
    <pivotField dataField="1" numFmtId="1" showAll="0"/>
    <pivotField showAll="0"/>
    <pivotField axis="axisRow" showAll="0">
      <items count="3">
        <item n="New " x="0"/>
        <item n="Returning" x="1"/>
        <item t="default"/>
      </items>
    </pivotField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erage Session Time (Minutes)" fld="4" subtotal="average" baseField="6" baseItem="0" numFmtId="2"/>
    <dataField name="Count of User(%)" fld="0" subtotal="count" showDataAs="percentOfCol" baseField="6" baseItem="0" numFmtId="9"/>
    <dataField name="Average of Interactions this Month" fld="5" subtotal="average" baseField="6" baseItem="0" numFmtId="1"/>
  </dataFields>
  <formats count="17">
    <format dxfId="0">
      <pivotArea collapsedLevelsAreSubtotals="1" fieldPosition="0">
        <references count="1">
          <reference field="7" count="0"/>
        </references>
      </pivotArea>
    </format>
    <format dxfId="1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4">
      <pivotArea grandRow="1" outline="0" collapsedLevelsAreSubtotals="1" fieldPosition="0"/>
    </format>
    <format dxfId="5">
      <pivotArea field="7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">
      <pivotArea outline="0" fieldPosition="0">
        <references count="1">
          <reference field="4294967294" count="1">
            <x v="1"/>
          </reference>
        </references>
      </pivotArea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field="7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7" count="1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7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4" displayName="Table4" ref="A1:I101" totalsRowShown="0" headerRowDxfId="831" dataDxfId="830">
  <autoFilter ref="A1:I101"/>
  <tableColumns count="9">
    <tableColumn id="1" name="User" dataDxfId="829"/>
    <tableColumn id="2" name="Age" dataDxfId="828"/>
    <tableColumn id="9" name="Age in Range" dataDxfId="827">
      <calculatedColumnFormula>LOOKUP(B2,{0;18;25;35;45;55;65;75;90},{"&lt;18";"18–24";"25–34";"35–44";"45–54";"55–64";"65–74";"75–89";"&gt;89"})</calculatedColumnFormula>
    </tableColumn>
    <tableColumn id="3" name="Site" dataDxfId="826"/>
    <tableColumn id="4" name="Average Session Time (Minutes)" dataDxfId="825"/>
    <tableColumn id="5" name="Interactions this Month" dataDxfId="824"/>
    <tableColumn id="6" name="Device" dataDxfId="823"/>
    <tableColumn id="7" name="New/Returning" dataDxfId="822"/>
    <tableColumn id="8" name="Source" dataDxfId="8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27" totalsRowShown="0">
  <autoFilter ref="A1:I27"/>
  <tableColumns count="9">
    <tableColumn id="1" name="User"/>
    <tableColumn id="2" name="Age"/>
    <tableColumn id="3" name="Age in Range"/>
    <tableColumn id="4" name="Site"/>
    <tableColumn id="5" name="Average Session Time (Minutes)"/>
    <tableColumn id="6" name="Interactions this Month"/>
    <tableColumn id="7" name="Device"/>
    <tableColumn id="8" name="New/Returning"/>
    <tableColumn id="9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2"/>
  <sheetViews>
    <sheetView workbookViewId="0">
      <selection activeCell="B1" sqref="B1:B1048576"/>
    </sheetView>
  </sheetViews>
  <sheetFormatPr defaultColWidth="14.42578125" defaultRowHeight="15.75" customHeight="1"/>
  <cols>
    <col min="1" max="1" width="24.42578125" style="11" customWidth="1"/>
    <col min="2" max="3" width="24.7109375" customWidth="1"/>
    <col min="4" max="4" width="32.7109375" customWidth="1"/>
    <col min="5" max="5" width="24.42578125" customWidth="1"/>
    <col min="6" max="6" width="19.85546875" customWidth="1"/>
    <col min="7" max="7" width="40.42578125" customWidth="1"/>
    <col min="8" max="8" width="14.42578125" style="19" customWidth="1"/>
  </cols>
  <sheetData>
    <row r="1" spans="1:8" ht="15.75" customHeight="1">
      <c r="A1" s="11" t="s">
        <v>0</v>
      </c>
    </row>
    <row r="2" spans="1:8" ht="15.75" customHeight="1">
      <c r="A2" s="9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3" t="s">
        <v>7</v>
      </c>
      <c r="H2" s="15" t="s">
        <v>8</v>
      </c>
    </row>
    <row r="3" spans="1:8" ht="15.75" customHeight="1">
      <c r="A3" s="10" t="s">
        <v>9</v>
      </c>
      <c r="B3" s="2">
        <v>38</v>
      </c>
      <c r="C3" s="4" t="s">
        <v>10</v>
      </c>
      <c r="D3" s="5">
        <v>32.885549344620301</v>
      </c>
      <c r="E3" s="2">
        <v>9</v>
      </c>
      <c r="F3" s="4" t="s">
        <v>11</v>
      </c>
      <c r="G3" s="6" t="s">
        <v>12</v>
      </c>
      <c r="H3" s="16" t="s">
        <v>13</v>
      </c>
    </row>
    <row r="4" spans="1:8" ht="15.75" customHeight="1">
      <c r="A4" s="10" t="s">
        <v>14</v>
      </c>
      <c r="B4" s="2">
        <v>41</v>
      </c>
      <c r="C4" s="4" t="s">
        <v>15</v>
      </c>
      <c r="D4" s="5">
        <v>12.770629434697391</v>
      </c>
      <c r="E4" s="2">
        <v>8</v>
      </c>
      <c r="F4" s="4" t="s">
        <v>16</v>
      </c>
      <c r="G4" s="6" t="s">
        <v>12</v>
      </c>
      <c r="H4" s="16" t="s">
        <v>17</v>
      </c>
    </row>
    <row r="5" spans="1:8" ht="15.75" customHeight="1">
      <c r="A5" s="10" t="s">
        <v>18</v>
      </c>
      <c r="B5" s="2">
        <v>53</v>
      </c>
      <c r="C5" s="4" t="s">
        <v>19</v>
      </c>
      <c r="D5" s="5">
        <v>32.613915861967619</v>
      </c>
      <c r="E5" s="2">
        <v>1</v>
      </c>
      <c r="F5" s="4" t="s">
        <v>16</v>
      </c>
      <c r="G5" s="6" t="s">
        <v>20</v>
      </c>
      <c r="H5" s="16" t="s">
        <v>17</v>
      </c>
    </row>
    <row r="6" spans="1:8" ht="15.75" customHeight="1">
      <c r="A6" s="10" t="s">
        <v>21</v>
      </c>
      <c r="B6" s="2">
        <v>63</v>
      </c>
      <c r="C6" s="4" t="s">
        <v>19</v>
      </c>
      <c r="D6" s="5">
        <v>37.047458797722904</v>
      </c>
      <c r="E6" s="2">
        <v>4</v>
      </c>
      <c r="F6" s="4" t="s">
        <v>16</v>
      </c>
      <c r="G6" s="7" t="s">
        <v>12</v>
      </c>
      <c r="H6" s="16" t="s">
        <v>17</v>
      </c>
    </row>
    <row r="7" spans="1:8" ht="15.75" customHeight="1">
      <c r="A7" s="10" t="s">
        <v>22</v>
      </c>
      <c r="B7" s="2">
        <v>34</v>
      </c>
      <c r="C7" s="4" t="s">
        <v>10</v>
      </c>
      <c r="D7" s="5">
        <v>19.85211490119007</v>
      </c>
      <c r="E7" s="2">
        <v>10</v>
      </c>
      <c r="F7" s="4" t="s">
        <v>16</v>
      </c>
      <c r="G7" s="6" t="s">
        <v>12</v>
      </c>
      <c r="H7" s="16" t="s">
        <v>17</v>
      </c>
    </row>
    <row r="8" spans="1:8" ht="15.75" customHeight="1">
      <c r="A8" s="10" t="s">
        <v>23</v>
      </c>
      <c r="B8" s="2">
        <v>45</v>
      </c>
      <c r="C8" s="4" t="s">
        <v>15</v>
      </c>
      <c r="D8" s="5">
        <v>36.454002512321637</v>
      </c>
      <c r="E8" s="2">
        <v>9</v>
      </c>
      <c r="F8" s="4" t="s">
        <v>16</v>
      </c>
      <c r="G8" s="6" t="s">
        <v>20</v>
      </c>
      <c r="H8" s="16" t="s">
        <v>17</v>
      </c>
    </row>
    <row r="9" spans="1:8" ht="15.75" customHeight="1">
      <c r="A9" s="10" t="s">
        <v>24</v>
      </c>
      <c r="B9" s="2">
        <v>60</v>
      </c>
      <c r="C9" s="4" t="s">
        <v>19</v>
      </c>
      <c r="D9" s="5">
        <v>41.083167481630298</v>
      </c>
      <c r="E9" s="2">
        <v>1</v>
      </c>
      <c r="F9" s="4" t="s">
        <v>16</v>
      </c>
      <c r="G9" s="6" t="s">
        <v>12</v>
      </c>
      <c r="H9" s="16" t="s">
        <v>17</v>
      </c>
    </row>
    <row r="10" spans="1:8" ht="15.75" customHeight="1">
      <c r="A10" s="10" t="s">
        <v>25</v>
      </c>
      <c r="B10" s="2">
        <v>41</v>
      </c>
      <c r="C10" s="8" t="s">
        <v>15</v>
      </c>
      <c r="D10" s="5">
        <v>24.205045498700699</v>
      </c>
      <c r="E10" s="2">
        <v>7</v>
      </c>
      <c r="F10" s="4" t="s">
        <v>16</v>
      </c>
      <c r="G10" s="6" t="s">
        <v>12</v>
      </c>
      <c r="H10" s="16" t="s">
        <v>17</v>
      </c>
    </row>
    <row r="11" spans="1:8" ht="15.75" customHeight="1">
      <c r="A11" s="10" t="s">
        <v>26</v>
      </c>
      <c r="B11" s="2">
        <v>48</v>
      </c>
      <c r="C11" s="8" t="s">
        <v>15</v>
      </c>
      <c r="D11" s="5">
        <v>28.45378861594714</v>
      </c>
      <c r="E11" s="2">
        <v>5</v>
      </c>
      <c r="F11" s="8" t="s">
        <v>11</v>
      </c>
      <c r="G11" s="6" t="s">
        <v>12</v>
      </c>
      <c r="H11" s="16" t="s">
        <v>17</v>
      </c>
    </row>
    <row r="12" spans="1:8" ht="15.75" customHeight="1">
      <c r="A12" s="10" t="s">
        <v>27</v>
      </c>
      <c r="B12" s="2">
        <v>27</v>
      </c>
      <c r="C12" s="8" t="s">
        <v>15</v>
      </c>
      <c r="D12" s="5">
        <v>14.598933194405801</v>
      </c>
      <c r="E12" s="2">
        <v>1</v>
      </c>
      <c r="F12" s="8" t="s">
        <v>11</v>
      </c>
      <c r="G12" s="6" t="s">
        <v>12</v>
      </c>
      <c r="H12" s="16" t="s">
        <v>17</v>
      </c>
    </row>
    <row r="13" spans="1:8" ht="15.75" customHeight="1">
      <c r="A13" s="10" t="s">
        <v>28</v>
      </c>
      <c r="B13" s="2">
        <v>19</v>
      </c>
      <c r="C13" s="4" t="s">
        <v>10</v>
      </c>
      <c r="D13" s="5">
        <v>38.378935235319062</v>
      </c>
      <c r="E13" s="2">
        <v>7</v>
      </c>
      <c r="F13" s="4" t="s">
        <v>16</v>
      </c>
      <c r="G13" s="6" t="s">
        <v>20</v>
      </c>
      <c r="H13" s="16" t="s">
        <v>29</v>
      </c>
    </row>
    <row r="14" spans="1:8" ht="15.75" customHeight="1">
      <c r="A14" s="10" t="s">
        <v>30</v>
      </c>
      <c r="B14" s="2">
        <v>32</v>
      </c>
      <c r="C14" s="4" t="s">
        <v>19</v>
      </c>
      <c r="D14" s="5">
        <v>33.568076681644378</v>
      </c>
      <c r="E14" s="2">
        <v>8</v>
      </c>
      <c r="F14" s="4" t="s">
        <v>16</v>
      </c>
      <c r="G14" s="6" t="s">
        <v>20</v>
      </c>
      <c r="H14" s="16" t="s">
        <v>29</v>
      </c>
    </row>
    <row r="15" spans="1:8" ht="15.75" customHeight="1">
      <c r="A15" s="10" t="s">
        <v>31</v>
      </c>
      <c r="B15" s="2">
        <v>26</v>
      </c>
      <c r="C15" s="4" t="s">
        <v>10</v>
      </c>
      <c r="D15" s="5">
        <v>21.076427606877719</v>
      </c>
      <c r="E15" s="2">
        <v>6</v>
      </c>
      <c r="F15" s="4" t="s">
        <v>16</v>
      </c>
      <c r="G15" s="6" t="s">
        <v>20</v>
      </c>
      <c r="H15" s="16" t="s">
        <v>17</v>
      </c>
    </row>
    <row r="16" spans="1:8" ht="15.75" customHeight="1">
      <c r="A16" s="10" t="s">
        <v>32</v>
      </c>
      <c r="B16" s="2">
        <v>32</v>
      </c>
      <c r="C16" s="4" t="s">
        <v>10</v>
      </c>
      <c r="D16" s="5">
        <v>6.8517822859816002</v>
      </c>
      <c r="E16" s="2">
        <v>5</v>
      </c>
      <c r="F16" s="4" t="s">
        <v>16</v>
      </c>
      <c r="G16" s="6" t="s">
        <v>12</v>
      </c>
      <c r="H16" s="16" t="s">
        <v>17</v>
      </c>
    </row>
    <row r="17" spans="1:8" ht="15.75" customHeight="1">
      <c r="A17" s="10" t="s">
        <v>33</v>
      </c>
      <c r="B17" s="2">
        <v>23</v>
      </c>
      <c r="C17" s="4" t="s">
        <v>19</v>
      </c>
      <c r="D17" s="5">
        <v>41.216611285172782</v>
      </c>
      <c r="E17" s="2">
        <v>10</v>
      </c>
      <c r="F17" s="4" t="s">
        <v>16</v>
      </c>
      <c r="G17" s="6" t="s">
        <v>20</v>
      </c>
      <c r="H17" s="16" t="s">
        <v>17</v>
      </c>
    </row>
    <row r="18" spans="1:8" ht="15.75" customHeight="1">
      <c r="A18" s="10" t="s">
        <v>34</v>
      </c>
      <c r="B18" s="2">
        <v>32</v>
      </c>
      <c r="C18" s="4" t="s">
        <v>15</v>
      </c>
      <c r="D18" s="5">
        <v>18.271245837868999</v>
      </c>
      <c r="E18" s="2">
        <v>7</v>
      </c>
      <c r="F18" s="8" t="s">
        <v>11</v>
      </c>
      <c r="G18" s="6" t="s">
        <v>20</v>
      </c>
      <c r="H18" s="16" t="s">
        <v>17</v>
      </c>
    </row>
    <row r="19" spans="1:8" ht="15.75" customHeight="1">
      <c r="A19" s="10" t="s">
        <v>35</v>
      </c>
      <c r="B19" s="2">
        <v>78</v>
      </c>
      <c r="C19" s="4" t="s">
        <v>15</v>
      </c>
      <c r="D19" s="5">
        <v>19.756960024024728</v>
      </c>
      <c r="E19" s="2">
        <v>3</v>
      </c>
      <c r="F19" s="4" t="s">
        <v>16</v>
      </c>
      <c r="G19" s="6" t="s">
        <v>12</v>
      </c>
      <c r="H19" s="16" t="s">
        <v>17</v>
      </c>
    </row>
    <row r="20" spans="1:8" ht="15.75" customHeight="1">
      <c r="A20" s="10" t="s">
        <v>36</v>
      </c>
      <c r="B20" s="2">
        <v>43</v>
      </c>
      <c r="C20" s="4" t="s">
        <v>15</v>
      </c>
      <c r="D20" s="5">
        <v>40.439363063005153</v>
      </c>
      <c r="E20" s="2">
        <v>6</v>
      </c>
      <c r="F20" s="4" t="s">
        <v>16</v>
      </c>
      <c r="G20" s="6" t="s">
        <v>12</v>
      </c>
      <c r="H20" s="16" t="s">
        <v>29</v>
      </c>
    </row>
    <row r="21" spans="1:8" ht="15.75" customHeight="1">
      <c r="A21" s="10" t="s">
        <v>37</v>
      </c>
      <c r="B21" s="2">
        <v>22</v>
      </c>
      <c r="C21" s="4" t="s">
        <v>10</v>
      </c>
      <c r="D21" s="5">
        <v>22.803831593459929</v>
      </c>
      <c r="E21" s="2">
        <v>1</v>
      </c>
      <c r="F21" s="4" t="s">
        <v>16</v>
      </c>
      <c r="G21" s="6" t="s">
        <v>12</v>
      </c>
      <c r="H21" s="16" t="s">
        <v>13</v>
      </c>
    </row>
    <row r="22" spans="1:8" ht="15.75" customHeight="1">
      <c r="A22" s="10" t="s">
        <v>38</v>
      </c>
      <c r="B22" s="2">
        <v>27</v>
      </c>
      <c r="C22" s="4" t="s">
        <v>15</v>
      </c>
      <c r="D22" s="5">
        <v>7.5692332225880001</v>
      </c>
      <c r="E22" s="2">
        <v>5</v>
      </c>
      <c r="F22" s="4" t="s">
        <v>16</v>
      </c>
      <c r="G22" s="6" t="s">
        <v>20</v>
      </c>
      <c r="H22" s="16" t="s">
        <v>13</v>
      </c>
    </row>
    <row r="23" spans="1:8" ht="15.75" customHeight="1">
      <c r="A23" s="10" t="s">
        <v>39</v>
      </c>
      <c r="B23" s="2">
        <v>18</v>
      </c>
      <c r="C23" s="4" t="s">
        <v>10</v>
      </c>
      <c r="D23" s="5">
        <v>19.48114187573151</v>
      </c>
      <c r="E23" s="2">
        <v>7</v>
      </c>
      <c r="F23" s="4" t="s">
        <v>16</v>
      </c>
      <c r="G23" s="6" t="s">
        <v>12</v>
      </c>
      <c r="H23" s="16" t="s">
        <v>17</v>
      </c>
    </row>
    <row r="24" spans="1:8" ht="15.75" customHeight="1">
      <c r="A24" s="10" t="s">
        <v>40</v>
      </c>
      <c r="B24" s="2">
        <v>46</v>
      </c>
      <c r="C24" s="4" t="s">
        <v>15</v>
      </c>
      <c r="D24" s="5">
        <v>24.277270304047342</v>
      </c>
      <c r="E24" s="2">
        <v>9</v>
      </c>
      <c r="F24" s="4" t="s">
        <v>16</v>
      </c>
      <c r="G24" s="6" t="s">
        <v>20</v>
      </c>
      <c r="H24" s="16" t="s">
        <v>17</v>
      </c>
    </row>
    <row r="25" spans="1:8" ht="15.75" customHeight="1">
      <c r="A25" s="10" t="s">
        <v>41</v>
      </c>
      <c r="B25" s="2">
        <v>41</v>
      </c>
      <c r="C25" s="4" t="s">
        <v>19</v>
      </c>
      <c r="D25" s="5">
        <v>35.88660137849881</v>
      </c>
      <c r="E25" s="2">
        <v>6</v>
      </c>
      <c r="F25" s="4" t="s">
        <v>16</v>
      </c>
      <c r="G25" s="6" t="s">
        <v>12</v>
      </c>
      <c r="H25" s="16" t="s">
        <v>17</v>
      </c>
    </row>
    <row r="26" spans="1:8" ht="15.75" customHeight="1">
      <c r="A26" s="10" t="s">
        <v>42</v>
      </c>
      <c r="B26" s="2">
        <v>64</v>
      </c>
      <c r="C26" s="4" t="s">
        <v>15</v>
      </c>
      <c r="D26" s="5">
        <v>38.264883790394101</v>
      </c>
      <c r="E26" s="2">
        <v>6</v>
      </c>
      <c r="F26" s="4" t="s">
        <v>16</v>
      </c>
      <c r="G26" s="6" t="s">
        <v>20</v>
      </c>
      <c r="H26" s="16" t="s">
        <v>17</v>
      </c>
    </row>
    <row r="27" spans="1:8" ht="15.75" customHeight="1">
      <c r="A27" s="10" t="s">
        <v>43</v>
      </c>
      <c r="B27" s="2">
        <v>43</v>
      </c>
      <c r="C27" s="4" t="s">
        <v>19</v>
      </c>
      <c r="D27" s="5">
        <v>37.523875702886301</v>
      </c>
      <c r="E27" s="2">
        <v>8</v>
      </c>
      <c r="F27" s="4" t="s">
        <v>16</v>
      </c>
      <c r="G27" s="6" t="s">
        <v>12</v>
      </c>
      <c r="H27" s="16" t="s">
        <v>17</v>
      </c>
    </row>
    <row r="28" spans="1:8" ht="15.75" customHeight="1">
      <c r="A28" s="10" t="s">
        <v>44</v>
      </c>
      <c r="B28" s="2">
        <v>45</v>
      </c>
      <c r="C28" s="4" t="s">
        <v>15</v>
      </c>
      <c r="D28" s="5">
        <v>25.719687418928419</v>
      </c>
      <c r="E28" s="2">
        <v>3</v>
      </c>
      <c r="F28" s="4" t="s">
        <v>16</v>
      </c>
      <c r="G28" s="6" t="s">
        <v>20</v>
      </c>
      <c r="H28" s="16" t="s">
        <v>17</v>
      </c>
    </row>
    <row r="29" spans="1:8" ht="15.75" customHeight="1">
      <c r="A29" s="10" t="s">
        <v>45</v>
      </c>
      <c r="B29" s="2">
        <v>54</v>
      </c>
      <c r="C29" s="4" t="s">
        <v>19</v>
      </c>
      <c r="D29" s="5">
        <v>41.027345709241978</v>
      </c>
      <c r="E29" s="2">
        <v>3</v>
      </c>
      <c r="F29" s="4" t="s">
        <v>16</v>
      </c>
      <c r="G29" s="6" t="s">
        <v>20</v>
      </c>
      <c r="H29" s="16" t="s">
        <v>17</v>
      </c>
    </row>
    <row r="30" spans="1:8" ht="15.75" customHeight="1">
      <c r="A30" s="10" t="s">
        <v>46</v>
      </c>
      <c r="B30" s="2">
        <v>89</v>
      </c>
      <c r="C30" s="4" t="s">
        <v>10</v>
      </c>
      <c r="D30" s="5">
        <v>17.79898571467616</v>
      </c>
      <c r="E30" s="2">
        <v>1</v>
      </c>
      <c r="F30" s="4" t="s">
        <v>16</v>
      </c>
      <c r="G30" s="6" t="s">
        <v>12</v>
      </c>
      <c r="H30" s="16" t="s">
        <v>17</v>
      </c>
    </row>
    <row r="31" spans="1:8" ht="15.75" customHeight="1">
      <c r="A31" s="10" t="s">
        <v>47</v>
      </c>
      <c r="B31" s="2">
        <v>25</v>
      </c>
      <c r="C31" s="4" t="s">
        <v>10</v>
      </c>
      <c r="D31" s="5">
        <v>18.55408902598862</v>
      </c>
      <c r="E31" s="2">
        <v>5</v>
      </c>
      <c r="F31" s="4" t="s">
        <v>16</v>
      </c>
      <c r="G31" s="6" t="s">
        <v>12</v>
      </c>
      <c r="H31" s="16" t="s">
        <v>17</v>
      </c>
    </row>
    <row r="32" spans="1:8" ht="15.75" customHeight="1">
      <c r="A32" s="10" t="s">
        <v>48</v>
      </c>
      <c r="B32" s="2">
        <v>39</v>
      </c>
      <c r="C32" s="4" t="s">
        <v>15</v>
      </c>
      <c r="D32" s="5">
        <v>23.848461691209</v>
      </c>
      <c r="E32" s="2">
        <v>8</v>
      </c>
      <c r="F32" s="4" t="s">
        <v>16</v>
      </c>
      <c r="G32" s="6" t="s">
        <v>12</v>
      </c>
      <c r="H32" s="16" t="s">
        <v>49</v>
      </c>
    </row>
    <row r="33" spans="1:8" ht="15.75" customHeight="1">
      <c r="A33" s="10" t="s">
        <v>50</v>
      </c>
      <c r="B33" s="2">
        <v>32</v>
      </c>
      <c r="C33" s="4" t="s">
        <v>10</v>
      </c>
      <c r="D33" s="5">
        <v>19.734761867508698</v>
      </c>
      <c r="E33" s="2">
        <v>3</v>
      </c>
      <c r="F33" s="4" t="s">
        <v>16</v>
      </c>
      <c r="G33" s="6" t="s">
        <v>12</v>
      </c>
      <c r="H33" s="16" t="s">
        <v>29</v>
      </c>
    </row>
    <row r="34" spans="1:8" ht="15.75" customHeight="1">
      <c r="A34" s="10" t="s">
        <v>51</v>
      </c>
      <c r="B34" s="2">
        <v>23</v>
      </c>
      <c r="C34" s="4" t="s">
        <v>15</v>
      </c>
      <c r="D34" s="5">
        <v>42.303983996521289</v>
      </c>
      <c r="E34" s="2">
        <v>10</v>
      </c>
      <c r="F34" s="4" t="s">
        <v>16</v>
      </c>
      <c r="G34" s="6" t="s">
        <v>20</v>
      </c>
      <c r="H34" s="16" t="s">
        <v>17</v>
      </c>
    </row>
    <row r="35" spans="1:8" ht="15.75" customHeight="1">
      <c r="A35" s="10" t="s">
        <v>52</v>
      </c>
      <c r="B35" s="2">
        <v>56</v>
      </c>
      <c r="C35" s="4" t="s">
        <v>10</v>
      </c>
      <c r="D35" s="5">
        <v>24.025856595678089</v>
      </c>
      <c r="E35" s="2">
        <v>9</v>
      </c>
      <c r="F35" s="4" t="s">
        <v>16</v>
      </c>
      <c r="G35" s="6" t="s">
        <v>12</v>
      </c>
      <c r="H35" s="16" t="s">
        <v>29</v>
      </c>
    </row>
    <row r="36" spans="1:8" ht="15.75" customHeight="1">
      <c r="A36" s="10" t="s">
        <v>53</v>
      </c>
      <c r="B36" s="2">
        <v>26</v>
      </c>
      <c r="C36" s="4" t="s">
        <v>15</v>
      </c>
      <c r="D36" s="5">
        <v>9.9184819564472999</v>
      </c>
      <c r="E36" s="2">
        <v>7</v>
      </c>
      <c r="F36" s="4" t="s">
        <v>16</v>
      </c>
      <c r="G36" s="6" t="s">
        <v>20</v>
      </c>
      <c r="H36" s="16" t="s">
        <v>49</v>
      </c>
    </row>
    <row r="37" spans="1:8" ht="15.75" customHeight="1">
      <c r="A37" s="10" t="s">
        <v>54</v>
      </c>
      <c r="B37" s="2">
        <v>37</v>
      </c>
      <c r="C37" s="4" t="s">
        <v>19</v>
      </c>
      <c r="D37" s="5">
        <v>31.735386651978711</v>
      </c>
      <c r="E37" s="2">
        <v>5</v>
      </c>
      <c r="F37" s="4" t="s">
        <v>16</v>
      </c>
      <c r="G37" s="6" t="s">
        <v>20</v>
      </c>
      <c r="H37" s="16" t="s">
        <v>55</v>
      </c>
    </row>
    <row r="38" spans="1:8" ht="15.75" customHeight="1">
      <c r="A38" s="10" t="s">
        <v>56</v>
      </c>
      <c r="B38" s="2">
        <v>26</v>
      </c>
      <c r="C38" s="4" t="s">
        <v>15</v>
      </c>
      <c r="D38" s="5">
        <v>32.826014793724049</v>
      </c>
      <c r="E38" s="2">
        <v>10</v>
      </c>
      <c r="F38" s="4" t="s">
        <v>16</v>
      </c>
      <c r="G38" s="6" t="s">
        <v>20</v>
      </c>
      <c r="H38" s="16" t="s">
        <v>17</v>
      </c>
    </row>
    <row r="39" spans="1:8" ht="15.75" customHeight="1">
      <c r="A39" s="10" t="s">
        <v>57</v>
      </c>
      <c r="B39" s="2">
        <v>40</v>
      </c>
      <c r="C39" s="4" t="s">
        <v>15</v>
      </c>
      <c r="D39" s="5">
        <v>15.3428089890389</v>
      </c>
      <c r="E39" s="2">
        <v>9</v>
      </c>
      <c r="F39" s="4" t="s">
        <v>16</v>
      </c>
      <c r="G39" s="6" t="s">
        <v>12</v>
      </c>
      <c r="H39" s="16" t="s">
        <v>17</v>
      </c>
    </row>
    <row r="40" spans="1:8" ht="15.75" customHeight="1">
      <c r="A40" s="10" t="s">
        <v>58</v>
      </c>
      <c r="B40" s="2">
        <v>19</v>
      </c>
      <c r="C40" s="4" t="s">
        <v>19</v>
      </c>
      <c r="D40" s="5">
        <v>36.786246952886898</v>
      </c>
      <c r="E40" s="2">
        <v>10</v>
      </c>
      <c r="F40" s="8" t="s">
        <v>11</v>
      </c>
      <c r="G40" s="6" t="s">
        <v>20</v>
      </c>
      <c r="H40" s="16" t="s">
        <v>17</v>
      </c>
    </row>
    <row r="41" spans="1:8" ht="15.75" customHeight="1">
      <c r="A41" s="10" t="s">
        <v>59</v>
      </c>
      <c r="B41" s="2">
        <v>38</v>
      </c>
      <c r="C41" s="4" t="s">
        <v>10</v>
      </c>
      <c r="D41" s="5">
        <v>19.862430802250721</v>
      </c>
      <c r="E41" s="2">
        <v>4</v>
      </c>
      <c r="F41" s="4" t="s">
        <v>16</v>
      </c>
      <c r="G41" s="6" t="s">
        <v>20</v>
      </c>
      <c r="H41" s="16" t="s">
        <v>17</v>
      </c>
    </row>
    <row r="42" spans="1:8" ht="15.75" customHeight="1">
      <c r="A42" s="10" t="s">
        <v>60</v>
      </c>
      <c r="B42" s="2">
        <v>61</v>
      </c>
      <c r="C42" s="4" t="s">
        <v>15</v>
      </c>
      <c r="D42" s="5">
        <v>28.3623221768419</v>
      </c>
      <c r="E42" s="2">
        <v>9</v>
      </c>
      <c r="F42" s="4" t="s">
        <v>16</v>
      </c>
      <c r="G42" s="6" t="s">
        <v>12</v>
      </c>
      <c r="H42" s="16" t="s">
        <v>49</v>
      </c>
    </row>
    <row r="43" spans="1:8" ht="15.75" customHeight="1">
      <c r="A43" s="10" t="s">
        <v>61</v>
      </c>
      <c r="B43" s="2">
        <v>31</v>
      </c>
      <c r="C43" s="4" t="s">
        <v>10</v>
      </c>
      <c r="D43" s="5">
        <v>19.31379388111689</v>
      </c>
      <c r="E43" s="2">
        <v>4</v>
      </c>
      <c r="F43" s="4" t="s">
        <v>16</v>
      </c>
      <c r="G43" s="6" t="s">
        <v>12</v>
      </c>
      <c r="H43" s="16" t="s">
        <v>29</v>
      </c>
    </row>
    <row r="44" spans="1:8" ht="15.75" customHeight="1">
      <c r="A44" s="10" t="s">
        <v>62</v>
      </c>
      <c r="B44" s="2">
        <v>44</v>
      </c>
      <c r="C44" s="4" t="s">
        <v>15</v>
      </c>
      <c r="D44" s="5">
        <v>18.449021870195001</v>
      </c>
      <c r="E44" s="2">
        <v>10</v>
      </c>
      <c r="F44" s="4" t="s">
        <v>16</v>
      </c>
      <c r="G44" s="6" t="s">
        <v>12</v>
      </c>
      <c r="H44" s="16" t="s">
        <v>17</v>
      </c>
    </row>
    <row r="45" spans="1:8" ht="15.75" customHeight="1">
      <c r="A45" s="10" t="s">
        <v>63</v>
      </c>
      <c r="B45" s="2">
        <v>57</v>
      </c>
      <c r="C45" s="4" t="s">
        <v>19</v>
      </c>
      <c r="D45" s="5">
        <v>24.93870330734746</v>
      </c>
      <c r="E45" s="2">
        <v>8</v>
      </c>
      <c r="F45" s="4" t="s">
        <v>16</v>
      </c>
      <c r="G45" s="6" t="s">
        <v>12</v>
      </c>
      <c r="H45" s="16" t="s">
        <v>17</v>
      </c>
    </row>
    <row r="46" spans="1:8" ht="15.75" customHeight="1">
      <c r="A46" s="10" t="s">
        <v>64</v>
      </c>
      <c r="B46" s="2">
        <v>39</v>
      </c>
      <c r="C46" s="4" t="s">
        <v>19</v>
      </c>
      <c r="D46" s="5">
        <v>35.144413286142289</v>
      </c>
      <c r="E46" s="2">
        <v>10</v>
      </c>
      <c r="F46" s="8" t="s">
        <v>11</v>
      </c>
      <c r="G46" s="6" t="s">
        <v>20</v>
      </c>
      <c r="H46" s="16" t="s">
        <v>17</v>
      </c>
    </row>
    <row r="47" spans="1:8" ht="15.75" customHeight="1">
      <c r="A47" s="10" t="s">
        <v>65</v>
      </c>
      <c r="B47" s="2">
        <v>33</v>
      </c>
      <c r="C47" s="4" t="s">
        <v>15</v>
      </c>
      <c r="D47" s="5">
        <v>16.014367075476599</v>
      </c>
      <c r="E47" s="2">
        <v>4</v>
      </c>
      <c r="F47" s="4" t="s">
        <v>16</v>
      </c>
      <c r="G47" s="6" t="s">
        <v>12</v>
      </c>
      <c r="H47" s="16" t="s">
        <v>17</v>
      </c>
    </row>
    <row r="48" spans="1:8" ht="15.75" customHeight="1">
      <c r="A48" s="10" t="s">
        <v>66</v>
      </c>
      <c r="B48" s="2">
        <v>25</v>
      </c>
      <c r="C48" s="4" t="s">
        <v>10</v>
      </c>
      <c r="D48" s="5">
        <v>23.2130636370932</v>
      </c>
      <c r="E48" s="2">
        <v>6</v>
      </c>
      <c r="F48" s="8" t="s">
        <v>11</v>
      </c>
      <c r="G48" s="6" t="s">
        <v>12</v>
      </c>
      <c r="H48" s="16" t="s">
        <v>17</v>
      </c>
    </row>
    <row r="49" spans="1:8" ht="15.75" customHeight="1">
      <c r="A49" s="10" t="s">
        <v>67</v>
      </c>
      <c r="B49" s="2">
        <v>22</v>
      </c>
      <c r="C49" s="4" t="s">
        <v>10</v>
      </c>
      <c r="D49" s="5">
        <v>31.3473370097045</v>
      </c>
      <c r="E49" s="2">
        <v>4</v>
      </c>
      <c r="F49" s="4" t="s">
        <v>16</v>
      </c>
      <c r="G49" s="6" t="s">
        <v>12</v>
      </c>
      <c r="H49" s="16" t="s">
        <v>17</v>
      </c>
    </row>
    <row r="50" spans="1:8" ht="16.5" customHeight="1">
      <c r="A50" s="10" t="s">
        <v>68</v>
      </c>
      <c r="B50" s="2">
        <v>37</v>
      </c>
      <c r="C50" s="4" t="s">
        <v>15</v>
      </c>
      <c r="D50" s="5">
        <v>11.121253083965509</v>
      </c>
      <c r="E50" s="2">
        <v>7</v>
      </c>
      <c r="F50" s="4" t="s">
        <v>16</v>
      </c>
      <c r="G50" s="6" t="s">
        <v>12</v>
      </c>
      <c r="H50" s="16" t="s">
        <v>17</v>
      </c>
    </row>
    <row r="51" spans="1:8" ht="16.5" customHeight="1">
      <c r="A51" s="10" t="s">
        <v>69</v>
      </c>
      <c r="B51" s="2">
        <v>44</v>
      </c>
      <c r="C51" s="4" t="s">
        <v>19</v>
      </c>
      <c r="D51" s="5">
        <v>37.130885649335802</v>
      </c>
      <c r="E51" s="2">
        <v>9</v>
      </c>
      <c r="F51" s="4" t="s">
        <v>16</v>
      </c>
      <c r="G51" s="6" t="s">
        <v>20</v>
      </c>
      <c r="H51" s="16" t="s">
        <v>17</v>
      </c>
    </row>
    <row r="52" spans="1:8" ht="16.5" customHeight="1">
      <c r="A52" s="10" t="s">
        <v>70</v>
      </c>
      <c r="B52" s="2">
        <v>56</v>
      </c>
      <c r="C52" s="4" t="s">
        <v>15</v>
      </c>
      <c r="D52" s="5">
        <v>10.2911598806757</v>
      </c>
      <c r="E52" s="2">
        <v>8</v>
      </c>
      <c r="F52" s="8" t="s">
        <v>11</v>
      </c>
      <c r="G52" s="6" t="s">
        <v>12</v>
      </c>
      <c r="H52" s="16" t="s">
        <v>17</v>
      </c>
    </row>
    <row r="53" spans="1:8" ht="16.5" customHeight="1">
      <c r="A53" s="10" t="s">
        <v>71</v>
      </c>
      <c r="B53" s="2">
        <v>45</v>
      </c>
      <c r="C53" s="4" t="s">
        <v>19</v>
      </c>
      <c r="D53" s="5">
        <v>17.316560145487109</v>
      </c>
      <c r="E53" s="2">
        <v>6</v>
      </c>
      <c r="F53" s="4" t="s">
        <v>16</v>
      </c>
      <c r="G53" s="6" t="s">
        <v>20</v>
      </c>
      <c r="H53" s="16" t="s">
        <v>17</v>
      </c>
    </row>
    <row r="54" spans="1:8" ht="16.5" customHeight="1">
      <c r="A54" s="10" t="s">
        <v>72</v>
      </c>
      <c r="B54" s="2">
        <v>26</v>
      </c>
      <c r="C54" s="4" t="s">
        <v>15</v>
      </c>
      <c r="D54" s="5">
        <v>22.9613180638956</v>
      </c>
      <c r="E54" s="2">
        <v>7</v>
      </c>
      <c r="F54" s="4" t="s">
        <v>16</v>
      </c>
      <c r="G54" s="6" t="s">
        <v>12</v>
      </c>
      <c r="H54" s="16" t="s">
        <v>73</v>
      </c>
    </row>
    <row r="55" spans="1:8" ht="16.5" customHeight="1">
      <c r="A55" s="10" t="s">
        <v>74</v>
      </c>
      <c r="B55" s="2">
        <v>24</v>
      </c>
      <c r="C55" s="4" t="s">
        <v>10</v>
      </c>
      <c r="D55" s="5">
        <v>18.391804242589831</v>
      </c>
      <c r="E55" s="2">
        <v>6</v>
      </c>
      <c r="F55" s="4" t="s">
        <v>16</v>
      </c>
      <c r="G55" s="6" t="s">
        <v>20</v>
      </c>
      <c r="H55" s="16" t="s">
        <v>49</v>
      </c>
    </row>
    <row r="56" spans="1:8" ht="16.5" customHeight="1">
      <c r="A56" s="10" t="s">
        <v>75</v>
      </c>
      <c r="B56" s="2">
        <v>42</v>
      </c>
      <c r="C56" s="4" t="s">
        <v>10</v>
      </c>
      <c r="D56" s="5">
        <v>8.5020765695894998</v>
      </c>
      <c r="E56" s="2">
        <v>8</v>
      </c>
      <c r="F56" s="4" t="s">
        <v>16</v>
      </c>
      <c r="G56" s="6" t="s">
        <v>12</v>
      </c>
      <c r="H56" s="16" t="s">
        <v>49</v>
      </c>
    </row>
    <row r="57" spans="1:8" ht="16.5" customHeight="1">
      <c r="A57" s="10" t="s">
        <v>76</v>
      </c>
      <c r="B57" s="2">
        <v>19</v>
      </c>
      <c r="C57" s="4" t="s">
        <v>10</v>
      </c>
      <c r="D57" s="5">
        <v>10.492881669734491</v>
      </c>
      <c r="E57" s="2">
        <v>6</v>
      </c>
      <c r="F57" s="4" t="s">
        <v>16</v>
      </c>
      <c r="G57" s="6" t="s">
        <v>12</v>
      </c>
      <c r="H57" s="16" t="s">
        <v>29</v>
      </c>
    </row>
    <row r="58" spans="1:8" ht="16.5" customHeight="1">
      <c r="A58" s="10" t="s">
        <v>77</v>
      </c>
      <c r="B58" s="2">
        <v>42</v>
      </c>
      <c r="C58" s="4" t="s">
        <v>15</v>
      </c>
      <c r="D58" s="5">
        <v>22.59754160307077</v>
      </c>
      <c r="E58" s="2">
        <v>7</v>
      </c>
      <c r="F58" s="4" t="s">
        <v>16</v>
      </c>
      <c r="G58" s="6" t="s">
        <v>12</v>
      </c>
      <c r="H58" s="16" t="s">
        <v>17</v>
      </c>
    </row>
    <row r="59" spans="1:8" ht="16.5" customHeight="1">
      <c r="A59" s="10" t="s">
        <v>78</v>
      </c>
      <c r="B59" s="2">
        <v>31</v>
      </c>
      <c r="C59" s="4" t="s">
        <v>19</v>
      </c>
      <c r="D59" s="5">
        <v>22.584238635981301</v>
      </c>
      <c r="E59" s="2">
        <v>4</v>
      </c>
      <c r="F59" s="4" t="s">
        <v>16</v>
      </c>
      <c r="G59" s="6" t="s">
        <v>12</v>
      </c>
      <c r="H59" s="16" t="s">
        <v>17</v>
      </c>
    </row>
    <row r="60" spans="1:8" ht="16.5" customHeight="1">
      <c r="A60" s="10" t="s">
        <v>79</v>
      </c>
      <c r="B60" s="2">
        <v>51</v>
      </c>
      <c r="C60" s="4" t="s">
        <v>15</v>
      </c>
      <c r="D60" s="5">
        <v>33.50750232562163</v>
      </c>
      <c r="E60" s="2">
        <v>4</v>
      </c>
      <c r="F60" s="4" t="s">
        <v>16</v>
      </c>
      <c r="G60" s="6" t="s">
        <v>20</v>
      </c>
      <c r="H60" s="16" t="s">
        <v>80</v>
      </c>
    </row>
    <row r="61" spans="1:8" ht="16.5" customHeight="1">
      <c r="A61" s="10" t="s">
        <v>81</v>
      </c>
      <c r="B61" s="2">
        <v>37</v>
      </c>
      <c r="C61" s="4" t="s">
        <v>19</v>
      </c>
      <c r="D61" s="5">
        <v>18.040858248770771</v>
      </c>
      <c r="E61" s="2">
        <v>6</v>
      </c>
      <c r="F61" s="4" t="s">
        <v>16</v>
      </c>
      <c r="G61" s="6" t="s">
        <v>20</v>
      </c>
      <c r="H61" s="16" t="s">
        <v>13</v>
      </c>
    </row>
    <row r="62" spans="1:8" ht="16.5" customHeight="1">
      <c r="A62" s="10" t="s">
        <v>82</v>
      </c>
      <c r="B62" s="2">
        <v>25</v>
      </c>
      <c r="C62" s="4" t="s">
        <v>15</v>
      </c>
      <c r="D62" s="5">
        <v>31.684957433879969</v>
      </c>
      <c r="E62" s="2">
        <v>10</v>
      </c>
      <c r="F62" s="4" t="s">
        <v>16</v>
      </c>
      <c r="G62" s="6" t="s">
        <v>12</v>
      </c>
      <c r="H62" s="16" t="s">
        <v>49</v>
      </c>
    </row>
    <row r="63" spans="1:8" ht="16.5" customHeight="1">
      <c r="A63" s="10" t="s">
        <v>83</v>
      </c>
      <c r="B63" s="2">
        <v>33</v>
      </c>
      <c r="C63" s="4" t="s">
        <v>10</v>
      </c>
      <c r="D63" s="5">
        <v>30.312939079910571</v>
      </c>
      <c r="E63" s="2">
        <v>5</v>
      </c>
      <c r="F63" s="4" t="s">
        <v>16</v>
      </c>
      <c r="G63" s="6" t="s">
        <v>20</v>
      </c>
      <c r="H63" s="16" t="s">
        <v>29</v>
      </c>
    </row>
    <row r="64" spans="1:8" ht="16.5" customHeight="1">
      <c r="A64" s="10" t="s">
        <v>84</v>
      </c>
      <c r="B64" s="2">
        <v>37</v>
      </c>
      <c r="C64" s="4" t="s">
        <v>15</v>
      </c>
      <c r="D64" s="5">
        <v>33.975690891424861</v>
      </c>
      <c r="E64" s="2">
        <v>7</v>
      </c>
      <c r="F64" s="4" t="s">
        <v>16</v>
      </c>
      <c r="G64" s="6" t="s">
        <v>12</v>
      </c>
      <c r="H64" s="16" t="s">
        <v>17</v>
      </c>
    </row>
    <row r="65" spans="1:8" ht="16.5" customHeight="1">
      <c r="A65" s="10" t="s">
        <v>85</v>
      </c>
      <c r="B65" s="2">
        <v>36</v>
      </c>
      <c r="C65" s="4" t="s">
        <v>19</v>
      </c>
      <c r="D65" s="5">
        <v>33.7869670108254</v>
      </c>
      <c r="E65" s="2">
        <v>2</v>
      </c>
      <c r="F65" s="4" t="s">
        <v>16</v>
      </c>
      <c r="G65" s="6" t="s">
        <v>12</v>
      </c>
      <c r="H65" s="16" t="s">
        <v>17</v>
      </c>
    </row>
    <row r="66" spans="1:8" ht="16.5" customHeight="1">
      <c r="A66" s="10" t="s">
        <v>86</v>
      </c>
      <c r="B66" s="2">
        <v>31</v>
      </c>
      <c r="C66" s="4" t="s">
        <v>15</v>
      </c>
      <c r="D66" s="5">
        <v>34.127278695586853</v>
      </c>
      <c r="E66" s="2">
        <v>9</v>
      </c>
      <c r="F66" s="4" t="s">
        <v>16</v>
      </c>
      <c r="G66" s="6" t="s">
        <v>20</v>
      </c>
      <c r="H66" s="16" t="s">
        <v>49</v>
      </c>
    </row>
    <row r="67" spans="1:8" ht="16.5" customHeight="1">
      <c r="A67" s="10" t="s">
        <v>87</v>
      </c>
      <c r="B67" s="2">
        <v>45</v>
      </c>
      <c r="C67" s="4" t="s">
        <v>10</v>
      </c>
      <c r="D67" s="5">
        <v>34.38353483439721</v>
      </c>
      <c r="E67" s="2">
        <v>1</v>
      </c>
      <c r="F67" s="4" t="s">
        <v>16</v>
      </c>
      <c r="G67" s="6" t="s">
        <v>12</v>
      </c>
      <c r="H67" s="16" t="s">
        <v>17</v>
      </c>
    </row>
    <row r="68" spans="1:8" ht="16.5" customHeight="1">
      <c r="A68" s="10" t="s">
        <v>88</v>
      </c>
      <c r="B68" s="2">
        <v>52</v>
      </c>
      <c r="C68" s="4" t="s">
        <v>15</v>
      </c>
      <c r="D68" s="5">
        <v>24.505231035506998</v>
      </c>
      <c r="E68" s="2">
        <v>4</v>
      </c>
      <c r="F68" s="8" t="s">
        <v>11</v>
      </c>
      <c r="G68" s="6" t="s">
        <v>20</v>
      </c>
      <c r="H68" s="16" t="s">
        <v>17</v>
      </c>
    </row>
    <row r="69" spans="1:8" ht="16.5" customHeight="1">
      <c r="A69" s="10" t="s">
        <v>89</v>
      </c>
      <c r="B69" s="2">
        <v>17</v>
      </c>
      <c r="C69" s="4" t="s">
        <v>15</v>
      </c>
      <c r="D69" s="5">
        <v>34.820164582867498</v>
      </c>
      <c r="E69" s="2">
        <v>9</v>
      </c>
      <c r="F69" s="4" t="s">
        <v>16</v>
      </c>
      <c r="G69" s="6" t="s">
        <v>20</v>
      </c>
      <c r="H69" s="16" t="s">
        <v>17</v>
      </c>
    </row>
    <row r="70" spans="1:8" ht="16.5" customHeight="1">
      <c r="A70" s="10" t="s">
        <v>90</v>
      </c>
      <c r="B70" s="2">
        <v>44</v>
      </c>
      <c r="C70" s="4" t="s">
        <v>15</v>
      </c>
      <c r="D70" s="5">
        <v>18.055710122367199</v>
      </c>
      <c r="E70" s="2">
        <v>3</v>
      </c>
      <c r="F70" s="4" t="s">
        <v>16</v>
      </c>
      <c r="G70" s="6" t="s">
        <v>20</v>
      </c>
      <c r="H70" s="16" t="s">
        <v>17</v>
      </c>
    </row>
    <row r="71" spans="1:8" ht="16.5" customHeight="1">
      <c r="A71" s="10" t="s">
        <v>91</v>
      </c>
      <c r="B71" s="2">
        <v>42</v>
      </c>
      <c r="C71" s="4" t="s">
        <v>15</v>
      </c>
      <c r="D71" s="5">
        <v>26.882211256680929</v>
      </c>
      <c r="E71" s="2">
        <v>8</v>
      </c>
      <c r="F71" s="4" t="s">
        <v>16</v>
      </c>
      <c r="G71" s="6" t="s">
        <v>20</v>
      </c>
      <c r="H71" s="16" t="s">
        <v>17</v>
      </c>
    </row>
    <row r="72" spans="1:8" ht="16.5" customHeight="1">
      <c r="A72" s="10" t="s">
        <v>92</v>
      </c>
      <c r="B72" s="2">
        <v>60</v>
      </c>
      <c r="C72" s="4" t="s">
        <v>19</v>
      </c>
      <c r="D72" s="5">
        <v>40.777256863256603</v>
      </c>
      <c r="E72" s="2">
        <v>1</v>
      </c>
      <c r="F72" s="4" t="s">
        <v>16</v>
      </c>
      <c r="G72" s="6" t="s">
        <v>20</v>
      </c>
      <c r="H72" s="16" t="s">
        <v>17</v>
      </c>
    </row>
    <row r="73" spans="1:8" ht="16.5" customHeight="1">
      <c r="A73" s="10" t="s">
        <v>93</v>
      </c>
      <c r="B73" s="2">
        <v>58</v>
      </c>
      <c r="C73" s="4" t="s">
        <v>15</v>
      </c>
      <c r="D73" s="5">
        <v>22.07233335404311</v>
      </c>
      <c r="E73" s="2">
        <v>10</v>
      </c>
      <c r="F73" s="4" t="s">
        <v>16</v>
      </c>
      <c r="G73" s="6" t="s">
        <v>12</v>
      </c>
      <c r="H73" s="16" t="s">
        <v>17</v>
      </c>
    </row>
    <row r="74" spans="1:8" ht="16.5" customHeight="1">
      <c r="A74" s="10" t="s">
        <v>94</v>
      </c>
      <c r="B74" s="2">
        <v>42</v>
      </c>
      <c r="C74" s="4" t="s">
        <v>15</v>
      </c>
      <c r="D74" s="5">
        <v>28.010961410019888</v>
      </c>
      <c r="E74" s="2">
        <v>5</v>
      </c>
      <c r="F74" s="4" t="s">
        <v>16</v>
      </c>
      <c r="G74" s="6" t="s">
        <v>12</v>
      </c>
      <c r="H74" s="16" t="s">
        <v>49</v>
      </c>
    </row>
    <row r="75" spans="1:8" ht="16.5" customHeight="1">
      <c r="A75" s="10" t="s">
        <v>95</v>
      </c>
      <c r="B75" s="2">
        <v>51</v>
      </c>
      <c r="C75" s="4" t="s">
        <v>19</v>
      </c>
      <c r="D75" s="5">
        <v>42.679984777863687</v>
      </c>
      <c r="E75" s="2">
        <v>7</v>
      </c>
      <c r="F75" s="8" t="s">
        <v>11</v>
      </c>
      <c r="G75" s="6" t="s">
        <v>20</v>
      </c>
      <c r="H75" s="16" t="s">
        <v>17</v>
      </c>
    </row>
    <row r="76" spans="1:8" ht="16.5" customHeight="1">
      <c r="A76" s="10" t="s">
        <v>96</v>
      </c>
      <c r="B76" s="2">
        <v>54</v>
      </c>
      <c r="C76" s="4" t="s">
        <v>15</v>
      </c>
      <c r="D76" s="5">
        <v>38.429882958056652</v>
      </c>
      <c r="E76" s="2">
        <v>9</v>
      </c>
      <c r="F76" s="8" t="s">
        <v>11</v>
      </c>
      <c r="G76" s="6" t="s">
        <v>20</v>
      </c>
      <c r="H76" s="16" t="s">
        <v>29</v>
      </c>
    </row>
    <row r="77" spans="1:8" ht="16.5" customHeight="1">
      <c r="A77" s="10" t="s">
        <v>97</v>
      </c>
      <c r="B77" s="2">
        <v>36</v>
      </c>
      <c r="C77" s="4" t="s">
        <v>15</v>
      </c>
      <c r="D77" s="5">
        <v>25.12809338285042</v>
      </c>
      <c r="E77" s="2">
        <v>7</v>
      </c>
      <c r="F77" s="4" t="s">
        <v>16</v>
      </c>
      <c r="G77" s="6" t="s">
        <v>12</v>
      </c>
      <c r="H77" s="16" t="s">
        <v>29</v>
      </c>
    </row>
    <row r="78" spans="1:8" ht="16.5" customHeight="1">
      <c r="A78" s="10" t="s">
        <v>98</v>
      </c>
      <c r="B78" s="2">
        <v>28</v>
      </c>
      <c r="C78" s="4" t="s">
        <v>19</v>
      </c>
      <c r="D78" s="5">
        <v>23.18772628073194</v>
      </c>
      <c r="E78" s="2">
        <v>6</v>
      </c>
      <c r="F78" s="4" t="s">
        <v>16</v>
      </c>
      <c r="G78" s="6" t="s">
        <v>20</v>
      </c>
      <c r="H78" s="16" t="s">
        <v>13</v>
      </c>
    </row>
    <row r="79" spans="1:8" ht="16.5" customHeight="1">
      <c r="A79" s="10" t="s">
        <v>99</v>
      </c>
      <c r="B79" s="2">
        <v>37</v>
      </c>
      <c r="C79" s="4" t="s">
        <v>15</v>
      </c>
      <c r="D79" s="5">
        <v>37.611280227429177</v>
      </c>
      <c r="E79" s="2">
        <v>10</v>
      </c>
      <c r="F79" s="4" t="s">
        <v>16</v>
      </c>
      <c r="G79" s="6" t="s">
        <v>12</v>
      </c>
      <c r="H79" s="16" t="s">
        <v>17</v>
      </c>
    </row>
    <row r="80" spans="1:8" ht="16.5" customHeight="1">
      <c r="A80" s="10" t="s">
        <v>100</v>
      </c>
      <c r="B80" s="2">
        <v>24</v>
      </c>
      <c r="C80" s="4" t="s">
        <v>10</v>
      </c>
      <c r="D80" s="5">
        <v>29.964764164907351</v>
      </c>
      <c r="E80" s="2">
        <v>2</v>
      </c>
      <c r="F80" s="4" t="s">
        <v>16</v>
      </c>
      <c r="G80" s="6" t="s">
        <v>12</v>
      </c>
      <c r="H80" s="16" t="s">
        <v>17</v>
      </c>
    </row>
    <row r="81" spans="1:8" ht="16.5" customHeight="1">
      <c r="A81" s="10" t="s">
        <v>101</v>
      </c>
      <c r="B81" s="2">
        <v>18</v>
      </c>
      <c r="C81" s="4" t="s">
        <v>19</v>
      </c>
      <c r="D81" s="5">
        <v>43.755353382465081</v>
      </c>
      <c r="E81" s="2">
        <v>2</v>
      </c>
      <c r="F81" s="4" t="s">
        <v>16</v>
      </c>
      <c r="G81" s="6" t="s">
        <v>20</v>
      </c>
      <c r="H81" s="16" t="s">
        <v>80</v>
      </c>
    </row>
    <row r="82" spans="1:8" ht="16.5" customHeight="1">
      <c r="A82" s="10" t="s">
        <v>102</v>
      </c>
      <c r="B82" s="2">
        <v>59</v>
      </c>
      <c r="C82" s="4" t="s">
        <v>15</v>
      </c>
      <c r="D82" s="5">
        <v>18.249818914201771</v>
      </c>
      <c r="E82" s="2">
        <v>7</v>
      </c>
      <c r="F82" s="4" t="s">
        <v>16</v>
      </c>
      <c r="G82" s="6" t="s">
        <v>20</v>
      </c>
      <c r="H82" s="16" t="s">
        <v>13</v>
      </c>
    </row>
    <row r="83" spans="1:8" ht="16.5" customHeight="1">
      <c r="A83" s="10" t="s">
        <v>103</v>
      </c>
      <c r="B83" s="2">
        <v>40</v>
      </c>
      <c r="C83" s="4" t="s">
        <v>19</v>
      </c>
      <c r="D83" s="5">
        <v>20.06374884993506</v>
      </c>
      <c r="E83" s="2">
        <v>1</v>
      </c>
      <c r="F83" s="4" t="s">
        <v>16</v>
      </c>
      <c r="G83" s="6" t="s">
        <v>20</v>
      </c>
      <c r="H83" s="16" t="s">
        <v>13</v>
      </c>
    </row>
    <row r="84" spans="1:8" ht="16.5" customHeight="1">
      <c r="A84" s="10" t="s">
        <v>104</v>
      </c>
      <c r="B84" s="2">
        <v>22</v>
      </c>
      <c r="C84" s="4" t="s">
        <v>15</v>
      </c>
      <c r="D84" s="5">
        <v>34.702426149173057</v>
      </c>
      <c r="E84" s="2">
        <v>10</v>
      </c>
      <c r="F84" s="4" t="s">
        <v>16</v>
      </c>
      <c r="G84" s="6" t="s">
        <v>12</v>
      </c>
      <c r="H84" s="16" t="s">
        <v>29</v>
      </c>
    </row>
    <row r="85" spans="1:8" ht="16.5" customHeight="1">
      <c r="A85" s="10" t="s">
        <v>105</v>
      </c>
      <c r="B85" s="2">
        <v>22</v>
      </c>
      <c r="C85" s="4" t="s">
        <v>10</v>
      </c>
      <c r="D85" s="5">
        <v>13.105498217535439</v>
      </c>
      <c r="E85" s="2">
        <v>5</v>
      </c>
      <c r="F85" s="4" t="s">
        <v>16</v>
      </c>
      <c r="G85" s="6" t="s">
        <v>12</v>
      </c>
      <c r="H85" s="16" t="s">
        <v>29</v>
      </c>
    </row>
    <row r="86" spans="1:8" ht="16.5" customHeight="1">
      <c r="A86" s="10" t="s">
        <v>106</v>
      </c>
      <c r="B86" s="2">
        <v>37</v>
      </c>
      <c r="C86" s="4" t="s">
        <v>15</v>
      </c>
      <c r="D86" s="5">
        <v>11.41371879429702</v>
      </c>
      <c r="E86" s="2">
        <v>6</v>
      </c>
      <c r="F86" s="4" t="s">
        <v>16</v>
      </c>
      <c r="G86" s="6" t="s">
        <v>12</v>
      </c>
      <c r="H86" s="16" t="s">
        <v>49</v>
      </c>
    </row>
    <row r="87" spans="1:8" ht="16.5" customHeight="1">
      <c r="A87" s="10" t="s">
        <v>107</v>
      </c>
      <c r="B87" s="2">
        <v>31</v>
      </c>
      <c r="C87" s="4" t="s">
        <v>19</v>
      </c>
      <c r="D87" s="5">
        <v>39.669080120597698</v>
      </c>
      <c r="E87" s="2">
        <v>4</v>
      </c>
      <c r="F87" s="4" t="s">
        <v>16</v>
      </c>
      <c r="G87" s="6" t="s">
        <v>20</v>
      </c>
      <c r="H87" s="16" t="s">
        <v>17</v>
      </c>
    </row>
    <row r="88" spans="1:8" ht="16.5" customHeight="1">
      <c r="A88" s="10" t="s">
        <v>108</v>
      </c>
      <c r="B88" s="2">
        <v>41</v>
      </c>
      <c r="C88" s="4" t="s">
        <v>19</v>
      </c>
      <c r="D88" s="5">
        <v>11.100371913322491</v>
      </c>
      <c r="E88" s="2">
        <v>10</v>
      </c>
      <c r="F88" s="4" t="s">
        <v>16</v>
      </c>
      <c r="G88" s="6" t="s">
        <v>12</v>
      </c>
      <c r="H88" s="16" t="s">
        <v>17</v>
      </c>
    </row>
    <row r="89" spans="1:8" ht="16.5" customHeight="1">
      <c r="A89" s="10" t="s">
        <v>109</v>
      </c>
      <c r="B89" s="2">
        <v>30</v>
      </c>
      <c r="C89" s="4" t="s">
        <v>15</v>
      </c>
      <c r="D89" s="5">
        <v>25.80523628368918</v>
      </c>
      <c r="E89" s="2">
        <v>3</v>
      </c>
      <c r="F89" s="4" t="s">
        <v>16</v>
      </c>
      <c r="G89" s="6" t="s">
        <v>20</v>
      </c>
      <c r="H89" s="16" t="s">
        <v>17</v>
      </c>
    </row>
    <row r="90" spans="1:8" ht="16.5" customHeight="1">
      <c r="A90" s="10" t="s">
        <v>110</v>
      </c>
      <c r="B90" s="2">
        <v>36</v>
      </c>
      <c r="C90" s="4" t="s">
        <v>19</v>
      </c>
      <c r="D90" s="5">
        <v>25.428445311181029</v>
      </c>
      <c r="E90" s="2">
        <v>5</v>
      </c>
      <c r="F90" s="4" t="s">
        <v>16</v>
      </c>
      <c r="G90" s="6" t="s">
        <v>12</v>
      </c>
      <c r="H90" s="16" t="s">
        <v>17</v>
      </c>
    </row>
    <row r="91" spans="1:8" ht="16.5" customHeight="1">
      <c r="A91" s="10" t="s">
        <v>111</v>
      </c>
      <c r="B91" s="2">
        <v>33</v>
      </c>
      <c r="C91" s="4" t="s">
        <v>15</v>
      </c>
      <c r="D91" s="5">
        <v>20.903042954313879</v>
      </c>
      <c r="E91" s="2">
        <v>5</v>
      </c>
      <c r="F91" s="8" t="s">
        <v>11</v>
      </c>
      <c r="G91" s="6" t="s">
        <v>20</v>
      </c>
      <c r="H91" s="16" t="s">
        <v>80</v>
      </c>
    </row>
    <row r="92" spans="1:8" ht="16.5" customHeight="1">
      <c r="A92" s="10" t="s">
        <v>112</v>
      </c>
      <c r="B92" s="2">
        <v>47</v>
      </c>
      <c r="C92" s="4" t="s">
        <v>15</v>
      </c>
      <c r="D92" s="5">
        <v>14.73595111580161</v>
      </c>
      <c r="E92" s="2">
        <v>8</v>
      </c>
      <c r="F92" s="8" t="s">
        <v>11</v>
      </c>
      <c r="G92" s="6" t="s">
        <v>12</v>
      </c>
      <c r="H92" s="16" t="s">
        <v>113</v>
      </c>
    </row>
    <row r="93" spans="1:8" ht="16.5" customHeight="1">
      <c r="A93" s="10" t="s">
        <v>114</v>
      </c>
      <c r="B93" s="2">
        <v>20</v>
      </c>
      <c r="C93" s="4" t="s">
        <v>19</v>
      </c>
      <c r="D93" s="5">
        <v>38.350930824995878</v>
      </c>
      <c r="E93" s="2">
        <v>7</v>
      </c>
      <c r="F93" s="4" t="s">
        <v>16</v>
      </c>
      <c r="G93" s="6" t="s">
        <v>20</v>
      </c>
      <c r="H93" s="16" t="s">
        <v>80</v>
      </c>
    </row>
    <row r="94" spans="1:8" ht="16.5" customHeight="1">
      <c r="A94" s="10" t="s">
        <v>115</v>
      </c>
      <c r="B94" s="2">
        <v>21</v>
      </c>
      <c r="C94" s="4" t="s">
        <v>10</v>
      </c>
      <c r="D94" s="5">
        <v>25.750474020386829</v>
      </c>
      <c r="E94" s="2">
        <v>7</v>
      </c>
      <c r="F94" s="4" t="s">
        <v>16</v>
      </c>
      <c r="G94" s="6" t="s">
        <v>12</v>
      </c>
      <c r="H94" s="16" t="s">
        <v>17</v>
      </c>
    </row>
    <row r="95" spans="1:8" ht="16.5" customHeight="1">
      <c r="A95" s="10" t="s">
        <v>116</v>
      </c>
      <c r="B95" s="2">
        <v>22</v>
      </c>
      <c r="C95" s="4" t="s">
        <v>10</v>
      </c>
      <c r="D95" s="5">
        <v>40.187027704773953</v>
      </c>
      <c r="E95" s="2">
        <v>10</v>
      </c>
      <c r="F95" s="4" t="s">
        <v>16</v>
      </c>
      <c r="G95" s="6" t="s">
        <v>20</v>
      </c>
      <c r="H95" s="16" t="s">
        <v>49</v>
      </c>
    </row>
    <row r="96" spans="1:8" ht="16.5" customHeight="1">
      <c r="A96" s="10" t="s">
        <v>117</v>
      </c>
      <c r="B96" s="2">
        <v>22</v>
      </c>
      <c r="C96" s="4" t="s">
        <v>10</v>
      </c>
      <c r="D96" s="5">
        <v>39.434602550337061</v>
      </c>
      <c r="E96" s="2">
        <v>5</v>
      </c>
      <c r="F96" s="8" t="s">
        <v>11</v>
      </c>
      <c r="G96" s="6" t="s">
        <v>12</v>
      </c>
      <c r="H96" s="16" t="s">
        <v>55</v>
      </c>
    </row>
    <row r="97" spans="1:8" ht="16.5" customHeight="1">
      <c r="A97" s="10" t="s">
        <v>118</v>
      </c>
      <c r="B97" s="2">
        <v>26</v>
      </c>
      <c r="C97" s="4" t="s">
        <v>15</v>
      </c>
      <c r="D97" s="5">
        <v>30.820598703448649</v>
      </c>
      <c r="E97" s="2">
        <v>8</v>
      </c>
      <c r="F97" s="4" t="s">
        <v>16</v>
      </c>
      <c r="G97" s="7" t="s">
        <v>12</v>
      </c>
      <c r="H97" s="16" t="s">
        <v>49</v>
      </c>
    </row>
    <row r="98" spans="1:8" ht="16.5" customHeight="1">
      <c r="A98" s="10" t="s">
        <v>119</v>
      </c>
      <c r="B98" s="2">
        <v>32</v>
      </c>
      <c r="C98" s="4" t="s">
        <v>15</v>
      </c>
      <c r="D98" s="5">
        <v>41.323848495686597</v>
      </c>
      <c r="E98" s="2">
        <v>9</v>
      </c>
      <c r="F98" s="4" t="s">
        <v>16</v>
      </c>
      <c r="G98" s="6" t="s">
        <v>12</v>
      </c>
      <c r="H98" s="16" t="s">
        <v>17</v>
      </c>
    </row>
    <row r="99" spans="1:8" ht="16.5" customHeight="1">
      <c r="A99" s="10" t="s">
        <v>82</v>
      </c>
      <c r="B99" s="2">
        <v>32</v>
      </c>
      <c r="C99" s="4" t="s">
        <v>10</v>
      </c>
      <c r="D99" s="5">
        <v>14.63313044429953</v>
      </c>
      <c r="E99" s="2">
        <v>2</v>
      </c>
      <c r="F99" s="4" t="s">
        <v>16</v>
      </c>
      <c r="G99" s="6" t="s">
        <v>12</v>
      </c>
      <c r="H99" s="16" t="s">
        <v>13</v>
      </c>
    </row>
    <row r="100" spans="1:8" ht="16.5" customHeight="1">
      <c r="A100" s="10" t="s">
        <v>120</v>
      </c>
      <c r="B100" s="2">
        <v>34</v>
      </c>
      <c r="C100" s="4" t="s">
        <v>19</v>
      </c>
      <c r="D100" s="5">
        <v>15.19331586813359</v>
      </c>
      <c r="E100" s="2">
        <v>1</v>
      </c>
      <c r="F100" s="4" t="s">
        <v>16</v>
      </c>
      <c r="G100" s="6" t="s">
        <v>12</v>
      </c>
      <c r="H100" s="16" t="s">
        <v>13</v>
      </c>
    </row>
    <row r="101" spans="1:8" ht="16.5" customHeight="1">
      <c r="A101" s="10" t="s">
        <v>121</v>
      </c>
      <c r="B101" s="2">
        <v>19</v>
      </c>
      <c r="C101" s="4" t="s">
        <v>15</v>
      </c>
      <c r="D101" s="5">
        <v>28.538811501097971</v>
      </c>
      <c r="E101" s="2">
        <v>9</v>
      </c>
      <c r="F101" s="4" t="s">
        <v>11</v>
      </c>
      <c r="G101" s="6" t="s">
        <v>20</v>
      </c>
      <c r="H101" s="16" t="s">
        <v>80</v>
      </c>
    </row>
    <row r="102" spans="1:8" ht="16.5" customHeight="1">
      <c r="A102" s="10" t="s">
        <v>122</v>
      </c>
      <c r="B102" s="2">
        <v>60</v>
      </c>
      <c r="C102" s="4" t="s">
        <v>19</v>
      </c>
      <c r="D102" s="5">
        <v>26.42768737714594</v>
      </c>
      <c r="E102" s="2">
        <v>8</v>
      </c>
      <c r="F102" s="4" t="s">
        <v>16</v>
      </c>
      <c r="G102" s="6" t="s">
        <v>20</v>
      </c>
      <c r="H102" s="1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C46" sqref="C46"/>
    </sheetView>
  </sheetViews>
  <sheetFormatPr defaultRowHeight="12.75"/>
  <cols>
    <col min="1" max="1" width="14.7109375" customWidth="1"/>
    <col min="2" max="2" width="9.140625" style="22" customWidth="1"/>
    <col min="3" max="3" width="15.5703125" style="22" customWidth="1"/>
    <col min="4" max="4" width="18.7109375" customWidth="1"/>
    <col min="5" max="5" width="32.140625" style="20" customWidth="1"/>
    <col min="6" max="6" width="28.85546875" style="22" customWidth="1"/>
    <col min="7" max="7" width="18.85546875" style="11" customWidth="1"/>
    <col min="8" max="8" width="18" style="11" customWidth="1"/>
    <col min="9" max="9" width="15.42578125" style="11" customWidth="1"/>
  </cols>
  <sheetData>
    <row r="1" spans="1:9">
      <c r="A1" s="19" t="s">
        <v>1</v>
      </c>
      <c r="B1" s="49" t="s">
        <v>2</v>
      </c>
      <c r="C1" s="49" t="s">
        <v>154</v>
      </c>
      <c r="D1" s="19" t="s">
        <v>3</v>
      </c>
      <c r="E1" s="47" t="s">
        <v>4</v>
      </c>
      <c r="F1" s="49" t="s">
        <v>5</v>
      </c>
      <c r="G1" s="12" t="s">
        <v>6</v>
      </c>
      <c r="H1" s="12" t="s">
        <v>7</v>
      </c>
      <c r="I1" s="12" t="s">
        <v>8</v>
      </c>
    </row>
    <row r="2" spans="1:9">
      <c r="A2" s="19" t="s">
        <v>9</v>
      </c>
      <c r="B2" s="49">
        <v>38</v>
      </c>
      <c r="C2" s="17" t="str">
        <f>LOOKUP(B2,{0;18;25;35;45;55;65;75;90},{"&lt;18";"18–24";"25–34";"35–44";"45–54";"55–64";"65–74";"75–89";"&gt;89"})</f>
        <v>35–44</v>
      </c>
      <c r="D2" s="19" t="s">
        <v>10</v>
      </c>
      <c r="E2" s="47">
        <v>32.885549344620301</v>
      </c>
      <c r="F2" s="49">
        <v>9</v>
      </c>
      <c r="G2" s="12" t="s">
        <v>11</v>
      </c>
      <c r="H2" s="12" t="s">
        <v>12</v>
      </c>
      <c r="I2" s="12" t="s">
        <v>13</v>
      </c>
    </row>
    <row r="3" spans="1:9">
      <c r="A3" s="19" t="s">
        <v>14</v>
      </c>
      <c r="B3" s="49">
        <v>41</v>
      </c>
      <c r="C3" s="17" t="str">
        <f>LOOKUP(B3,{0;18;25;35;45;55;65;75;90},{"&lt;18";"18–24";"25–34";"35–44";"45–54";"55–64";"65–74";"75–89";"&gt;89"})</f>
        <v>35–44</v>
      </c>
      <c r="D3" s="19" t="s">
        <v>15</v>
      </c>
      <c r="E3" s="47">
        <v>12.770629434697391</v>
      </c>
      <c r="F3" s="49">
        <v>8</v>
      </c>
      <c r="G3" s="12" t="s">
        <v>16</v>
      </c>
      <c r="H3" s="12" t="s">
        <v>12</v>
      </c>
      <c r="I3" s="12" t="s">
        <v>17</v>
      </c>
    </row>
    <row r="4" spans="1:9">
      <c r="A4" s="19" t="s">
        <v>18</v>
      </c>
      <c r="B4" s="49">
        <v>53</v>
      </c>
      <c r="C4" s="17" t="str">
        <f>LOOKUP(B4,{0;18;25;35;45;55;65;75;90},{"&lt;18";"18–24";"25–34";"35–44";"45–54";"55–64";"65–74";"75–89";"&gt;89"})</f>
        <v>45–54</v>
      </c>
      <c r="D4" s="19" t="s">
        <v>19</v>
      </c>
      <c r="E4" s="47">
        <v>32.613915861967619</v>
      </c>
      <c r="F4" s="49">
        <v>1</v>
      </c>
      <c r="G4" s="12" t="s">
        <v>16</v>
      </c>
      <c r="H4" s="12" t="s">
        <v>20</v>
      </c>
      <c r="I4" s="12" t="s">
        <v>17</v>
      </c>
    </row>
    <row r="5" spans="1:9">
      <c r="A5" s="19" t="s">
        <v>21</v>
      </c>
      <c r="B5" s="49">
        <v>63</v>
      </c>
      <c r="C5" s="17" t="str">
        <f>LOOKUP(B5,{0;18;25;35;45;55;65;75;90},{"&lt;18";"18–24";"25–34";"35–44";"45–54";"55–64";"65–74";"75–89";"&gt;89"})</f>
        <v>55–64</v>
      </c>
      <c r="D5" s="19" t="s">
        <v>19</v>
      </c>
      <c r="E5" s="47">
        <v>37.047458797722904</v>
      </c>
      <c r="F5" s="49">
        <v>4</v>
      </c>
      <c r="G5" s="12" t="s">
        <v>16</v>
      </c>
      <c r="H5" s="12" t="s">
        <v>12</v>
      </c>
      <c r="I5" s="12" t="s">
        <v>17</v>
      </c>
    </row>
    <row r="6" spans="1:9">
      <c r="A6" s="19" t="s">
        <v>22</v>
      </c>
      <c r="B6" s="49">
        <v>34</v>
      </c>
      <c r="C6" s="17" t="str">
        <f>LOOKUP(B6,{0;18;25;35;45;55;65;75;90},{"&lt;18";"18–24";"25–34";"35–44";"45–54";"55–64";"65–74";"75–89";"&gt;89"})</f>
        <v>25–34</v>
      </c>
      <c r="D6" s="19" t="s">
        <v>10</v>
      </c>
      <c r="E6" s="47">
        <v>19.85211490119007</v>
      </c>
      <c r="F6" s="49">
        <v>10</v>
      </c>
      <c r="G6" s="12" t="s">
        <v>16</v>
      </c>
      <c r="H6" s="12" t="s">
        <v>12</v>
      </c>
      <c r="I6" s="12" t="s">
        <v>17</v>
      </c>
    </row>
    <row r="7" spans="1:9">
      <c r="A7" s="19" t="s">
        <v>23</v>
      </c>
      <c r="B7" s="49">
        <v>45</v>
      </c>
      <c r="C7" s="17" t="str">
        <f>LOOKUP(B7,{0;18;25;35;45;55;65;75;90},{"&lt;18";"18–24";"25–34";"35–44";"45–54";"55–64";"65–74";"75–89";"&gt;89"})</f>
        <v>45–54</v>
      </c>
      <c r="D7" s="19" t="s">
        <v>15</v>
      </c>
      <c r="E7" s="47">
        <v>36.454002512321637</v>
      </c>
      <c r="F7" s="49">
        <v>9</v>
      </c>
      <c r="G7" s="12" t="s">
        <v>16</v>
      </c>
      <c r="H7" s="12" t="s">
        <v>20</v>
      </c>
      <c r="I7" s="12" t="s">
        <v>17</v>
      </c>
    </row>
    <row r="8" spans="1:9">
      <c r="A8" s="19" t="s">
        <v>24</v>
      </c>
      <c r="B8" s="49">
        <v>60</v>
      </c>
      <c r="C8" s="17" t="str">
        <f>LOOKUP(B8,{0;18;25;35;45;55;65;75;90},{"&lt;18";"18–24";"25–34";"35–44";"45–54";"55–64";"65–74";"75–89";"&gt;89"})</f>
        <v>55–64</v>
      </c>
      <c r="D8" s="19" t="s">
        <v>19</v>
      </c>
      <c r="E8" s="47">
        <v>41.083167481630298</v>
      </c>
      <c r="F8" s="49">
        <v>1</v>
      </c>
      <c r="G8" s="12" t="s">
        <v>16</v>
      </c>
      <c r="H8" s="12" t="s">
        <v>12</v>
      </c>
      <c r="I8" s="12" t="s">
        <v>17</v>
      </c>
    </row>
    <row r="9" spans="1:9">
      <c r="A9" s="19" t="s">
        <v>25</v>
      </c>
      <c r="B9" s="49">
        <v>41</v>
      </c>
      <c r="C9" s="17" t="str">
        <f>LOOKUP(B9,{0;18;25;35;45;55;65;75;90},{"&lt;18";"18–24";"25–34";"35–44";"45–54";"55–64";"65–74";"75–89";"&gt;89"})</f>
        <v>35–44</v>
      </c>
      <c r="D9" s="19" t="s">
        <v>15</v>
      </c>
      <c r="E9" s="47">
        <v>24.205045498700699</v>
      </c>
      <c r="F9" s="49">
        <v>7</v>
      </c>
      <c r="G9" s="12" t="s">
        <v>16</v>
      </c>
      <c r="H9" s="12" t="s">
        <v>12</v>
      </c>
      <c r="I9" s="12" t="s">
        <v>17</v>
      </c>
    </row>
    <row r="10" spans="1:9">
      <c r="A10" s="19" t="s">
        <v>26</v>
      </c>
      <c r="B10" s="49">
        <v>48</v>
      </c>
      <c r="C10" s="17" t="str">
        <f>LOOKUP(B10,{0;18;25;35;45;55;65;75;90},{"&lt;18";"18–24";"25–34";"35–44";"45–54";"55–64";"65–74";"75–89";"&gt;89"})</f>
        <v>45–54</v>
      </c>
      <c r="D10" s="19" t="s">
        <v>15</v>
      </c>
      <c r="E10" s="47">
        <v>28.45378861594714</v>
      </c>
      <c r="F10" s="49">
        <v>5</v>
      </c>
      <c r="G10" s="12" t="s">
        <v>11</v>
      </c>
      <c r="H10" s="12" t="s">
        <v>12</v>
      </c>
      <c r="I10" s="12" t="s">
        <v>17</v>
      </c>
    </row>
    <row r="11" spans="1:9">
      <c r="A11" s="19" t="s">
        <v>27</v>
      </c>
      <c r="B11" s="49">
        <v>27</v>
      </c>
      <c r="C11" s="17" t="str">
        <f>LOOKUP(B11,{0;18;25;35;45;55;65;75;90},{"&lt;18";"18–24";"25–34";"35–44";"45–54";"55–64";"65–74";"75–89";"&gt;89"})</f>
        <v>25–34</v>
      </c>
      <c r="D11" s="19" t="s">
        <v>15</v>
      </c>
      <c r="E11" s="47">
        <v>14.598933194405801</v>
      </c>
      <c r="F11" s="49">
        <v>1</v>
      </c>
      <c r="G11" s="12" t="s">
        <v>11</v>
      </c>
      <c r="H11" s="12" t="s">
        <v>12</v>
      </c>
      <c r="I11" s="12" t="s">
        <v>17</v>
      </c>
    </row>
    <row r="12" spans="1:9">
      <c r="A12" s="19" t="s">
        <v>28</v>
      </c>
      <c r="B12" s="49">
        <v>19</v>
      </c>
      <c r="C12" s="17" t="str">
        <f>LOOKUP(B12,{0;18;25;35;45;55;65;75;90},{"&lt;18";"18–24";"25–34";"35–44";"45–54";"55–64";"65–74";"75–89";"&gt;89"})</f>
        <v>18–24</v>
      </c>
      <c r="D12" s="19" t="s">
        <v>10</v>
      </c>
      <c r="E12" s="47">
        <v>38.378935235319062</v>
      </c>
      <c r="F12" s="49">
        <v>7</v>
      </c>
      <c r="G12" s="12" t="s">
        <v>16</v>
      </c>
      <c r="H12" s="12" t="s">
        <v>20</v>
      </c>
      <c r="I12" s="12" t="s">
        <v>29</v>
      </c>
    </row>
    <row r="13" spans="1:9">
      <c r="A13" s="19" t="s">
        <v>30</v>
      </c>
      <c r="B13" s="49">
        <v>32</v>
      </c>
      <c r="C13" s="17" t="str">
        <f>LOOKUP(B13,{0;18;25;35;45;55;65;75;90},{"&lt;18";"18–24";"25–34";"35–44";"45–54";"55–64";"65–74";"75–89";"&gt;89"})</f>
        <v>25–34</v>
      </c>
      <c r="D13" s="19" t="s">
        <v>19</v>
      </c>
      <c r="E13" s="47">
        <v>33.568076681644378</v>
      </c>
      <c r="F13" s="49">
        <v>8</v>
      </c>
      <c r="G13" s="12" t="s">
        <v>16</v>
      </c>
      <c r="H13" s="12" t="s">
        <v>20</v>
      </c>
      <c r="I13" s="12" t="s">
        <v>29</v>
      </c>
    </row>
    <row r="14" spans="1:9">
      <c r="A14" s="19" t="s">
        <v>31</v>
      </c>
      <c r="B14" s="49">
        <v>26</v>
      </c>
      <c r="C14" s="17" t="str">
        <f>LOOKUP(B14,{0;18;25;35;45;55;65;75;90},{"&lt;18";"18–24";"25–34";"35–44";"45–54";"55–64";"65–74";"75–89";"&gt;89"})</f>
        <v>25–34</v>
      </c>
      <c r="D14" s="19" t="s">
        <v>10</v>
      </c>
      <c r="E14" s="47">
        <v>21.076427606877719</v>
      </c>
      <c r="F14" s="49">
        <v>6</v>
      </c>
      <c r="G14" s="12" t="s">
        <v>16</v>
      </c>
      <c r="H14" s="12" t="s">
        <v>20</v>
      </c>
      <c r="I14" s="12" t="s">
        <v>17</v>
      </c>
    </row>
    <row r="15" spans="1:9">
      <c r="A15" s="19" t="s">
        <v>32</v>
      </c>
      <c r="B15" s="49">
        <v>32</v>
      </c>
      <c r="C15" s="17" t="str">
        <f>LOOKUP(B15,{0;18;25;35;45;55;65;75;90},{"&lt;18";"18–24";"25–34";"35–44";"45–54";"55–64";"65–74";"75–89";"&gt;89"})</f>
        <v>25–34</v>
      </c>
      <c r="D15" s="19" t="s">
        <v>10</v>
      </c>
      <c r="E15" s="47">
        <v>6.8517822859816002</v>
      </c>
      <c r="F15" s="49">
        <v>5</v>
      </c>
      <c r="G15" s="12" t="s">
        <v>16</v>
      </c>
      <c r="H15" s="12" t="s">
        <v>12</v>
      </c>
      <c r="I15" s="12" t="s">
        <v>17</v>
      </c>
    </row>
    <row r="16" spans="1:9">
      <c r="A16" s="19" t="s">
        <v>33</v>
      </c>
      <c r="B16" s="49">
        <v>23</v>
      </c>
      <c r="C16" s="17" t="str">
        <f>LOOKUP(B16,{0;18;25;35;45;55;65;75;90},{"&lt;18";"18–24";"25–34";"35–44";"45–54";"55–64";"65–74";"75–89";"&gt;89"})</f>
        <v>18–24</v>
      </c>
      <c r="D16" s="19" t="s">
        <v>19</v>
      </c>
      <c r="E16" s="47">
        <v>41.216611285172782</v>
      </c>
      <c r="F16" s="49">
        <v>10</v>
      </c>
      <c r="G16" s="12" t="s">
        <v>16</v>
      </c>
      <c r="H16" s="12" t="s">
        <v>20</v>
      </c>
      <c r="I16" s="12" t="s">
        <v>17</v>
      </c>
    </row>
    <row r="17" spans="1:9">
      <c r="A17" s="19" t="s">
        <v>34</v>
      </c>
      <c r="B17" s="49">
        <v>32</v>
      </c>
      <c r="C17" s="17" t="str">
        <f>LOOKUP(B17,{0;18;25;35;45;55;65;75;90},{"&lt;18";"18–24";"25–34";"35–44";"45–54";"55–64";"65–74";"75–89";"&gt;89"})</f>
        <v>25–34</v>
      </c>
      <c r="D17" s="19" t="s">
        <v>15</v>
      </c>
      <c r="E17" s="47">
        <v>18.271245837868999</v>
      </c>
      <c r="F17" s="49">
        <v>7</v>
      </c>
      <c r="G17" s="12" t="s">
        <v>11</v>
      </c>
      <c r="H17" s="12" t="s">
        <v>20</v>
      </c>
      <c r="I17" s="12" t="s">
        <v>17</v>
      </c>
    </row>
    <row r="18" spans="1:9">
      <c r="A18" s="19" t="s">
        <v>35</v>
      </c>
      <c r="B18" s="49">
        <v>78</v>
      </c>
      <c r="C18" s="17" t="str">
        <f>LOOKUP(B18,{0;18;25;35;45;55;65;75;90},{"&lt;18";"18–24";"25–34";"35–44";"45–54";"55–64";"65–74";"75–89";"&gt;89"})</f>
        <v>75–89</v>
      </c>
      <c r="D18" s="19" t="s">
        <v>15</v>
      </c>
      <c r="E18" s="47">
        <v>19.756960024024728</v>
      </c>
      <c r="F18" s="49">
        <v>3</v>
      </c>
      <c r="G18" s="12" t="s">
        <v>16</v>
      </c>
      <c r="H18" s="12" t="s">
        <v>12</v>
      </c>
      <c r="I18" s="12" t="s">
        <v>17</v>
      </c>
    </row>
    <row r="19" spans="1:9">
      <c r="A19" s="19" t="s">
        <v>36</v>
      </c>
      <c r="B19" s="49">
        <v>43</v>
      </c>
      <c r="C19" s="17" t="str">
        <f>LOOKUP(B19,{0;18;25;35;45;55;65;75;90},{"&lt;18";"18–24";"25–34";"35–44";"45–54";"55–64";"65–74";"75–89";"&gt;89"})</f>
        <v>35–44</v>
      </c>
      <c r="D19" s="19" t="s">
        <v>15</v>
      </c>
      <c r="E19" s="47">
        <v>40.439363063005153</v>
      </c>
      <c r="F19" s="49">
        <v>6</v>
      </c>
      <c r="G19" s="12" t="s">
        <v>16</v>
      </c>
      <c r="H19" s="12" t="s">
        <v>12</v>
      </c>
      <c r="I19" s="12" t="s">
        <v>29</v>
      </c>
    </row>
    <row r="20" spans="1:9">
      <c r="A20" s="19" t="s">
        <v>37</v>
      </c>
      <c r="B20" s="49">
        <v>22</v>
      </c>
      <c r="C20" s="17" t="str">
        <f>LOOKUP(B20,{0;18;25;35;45;55;65;75;90},{"&lt;18";"18–24";"25–34";"35–44";"45–54";"55–64";"65–74";"75–89";"&gt;89"})</f>
        <v>18–24</v>
      </c>
      <c r="D20" s="19" t="s">
        <v>10</v>
      </c>
      <c r="E20" s="47">
        <v>22.803831593459929</v>
      </c>
      <c r="F20" s="49">
        <v>1</v>
      </c>
      <c r="G20" s="12" t="s">
        <v>16</v>
      </c>
      <c r="H20" s="12" t="s">
        <v>12</v>
      </c>
      <c r="I20" s="12" t="s">
        <v>13</v>
      </c>
    </row>
    <row r="21" spans="1:9">
      <c r="A21" s="19" t="s">
        <v>38</v>
      </c>
      <c r="B21" s="49">
        <v>27</v>
      </c>
      <c r="C21" s="17" t="str">
        <f>LOOKUP(B21,{0;18;25;35;45;55;65;75;90},{"&lt;18";"18–24";"25–34";"35–44";"45–54";"55–64";"65–74";"75–89";"&gt;89"})</f>
        <v>25–34</v>
      </c>
      <c r="D21" s="19" t="s">
        <v>15</v>
      </c>
      <c r="E21" s="47">
        <v>7.5692332225880001</v>
      </c>
      <c r="F21" s="49">
        <v>5</v>
      </c>
      <c r="G21" s="12" t="s">
        <v>16</v>
      </c>
      <c r="H21" s="12" t="s">
        <v>20</v>
      </c>
      <c r="I21" s="12" t="s">
        <v>13</v>
      </c>
    </row>
    <row r="22" spans="1:9">
      <c r="A22" s="19" t="s">
        <v>39</v>
      </c>
      <c r="B22" s="49">
        <v>18</v>
      </c>
      <c r="C22" s="17" t="str">
        <f>LOOKUP(B22,{0;18;25;35;45;55;65;75;90},{"&lt;18";"18–24";"25–34";"35–44";"45–54";"55–64";"65–74";"75–89";"&gt;89"})</f>
        <v>18–24</v>
      </c>
      <c r="D22" s="19" t="s">
        <v>10</v>
      </c>
      <c r="E22" s="47">
        <v>19.48114187573151</v>
      </c>
      <c r="F22" s="49">
        <v>7</v>
      </c>
      <c r="G22" s="12" t="s">
        <v>16</v>
      </c>
      <c r="H22" s="12" t="s">
        <v>12</v>
      </c>
      <c r="I22" s="12" t="s">
        <v>17</v>
      </c>
    </row>
    <row r="23" spans="1:9">
      <c r="A23" s="19" t="s">
        <v>40</v>
      </c>
      <c r="B23" s="49">
        <v>46</v>
      </c>
      <c r="C23" s="17" t="str">
        <f>LOOKUP(B23,{0;18;25;35;45;55;65;75;90},{"&lt;18";"18–24";"25–34";"35–44";"45–54";"55–64";"65–74";"75–89";"&gt;89"})</f>
        <v>45–54</v>
      </c>
      <c r="D23" s="19" t="s">
        <v>15</v>
      </c>
      <c r="E23" s="47">
        <v>24.277270304047342</v>
      </c>
      <c r="F23" s="49">
        <v>9</v>
      </c>
      <c r="G23" s="12" t="s">
        <v>16</v>
      </c>
      <c r="H23" s="12" t="s">
        <v>20</v>
      </c>
      <c r="I23" s="12" t="s">
        <v>17</v>
      </c>
    </row>
    <row r="24" spans="1:9">
      <c r="A24" s="19" t="s">
        <v>41</v>
      </c>
      <c r="B24" s="49">
        <v>41</v>
      </c>
      <c r="C24" s="17" t="str">
        <f>LOOKUP(B24,{0;18;25;35;45;55;65;75;90},{"&lt;18";"18–24";"25–34";"35–44";"45–54";"55–64";"65–74";"75–89";"&gt;89"})</f>
        <v>35–44</v>
      </c>
      <c r="D24" s="19" t="s">
        <v>19</v>
      </c>
      <c r="E24" s="47">
        <v>35.88660137849881</v>
      </c>
      <c r="F24" s="49">
        <v>6</v>
      </c>
      <c r="G24" s="12" t="s">
        <v>16</v>
      </c>
      <c r="H24" s="12" t="s">
        <v>12</v>
      </c>
      <c r="I24" s="12" t="s">
        <v>17</v>
      </c>
    </row>
    <row r="25" spans="1:9">
      <c r="A25" s="19" t="s">
        <v>42</v>
      </c>
      <c r="B25" s="49">
        <v>64</v>
      </c>
      <c r="C25" s="17" t="str">
        <f>LOOKUP(B25,{0;18;25;35;45;55;65;75;90},{"&lt;18";"18–24";"25–34";"35–44";"45–54";"55–64";"65–74";"75–89";"&gt;89"})</f>
        <v>55–64</v>
      </c>
      <c r="D25" s="19" t="s">
        <v>15</v>
      </c>
      <c r="E25" s="47">
        <v>38.264883790394101</v>
      </c>
      <c r="F25" s="49">
        <v>6</v>
      </c>
      <c r="G25" s="12" t="s">
        <v>16</v>
      </c>
      <c r="H25" s="12" t="s">
        <v>20</v>
      </c>
      <c r="I25" s="12" t="s">
        <v>17</v>
      </c>
    </row>
    <row r="26" spans="1:9">
      <c r="A26" s="19" t="s">
        <v>43</v>
      </c>
      <c r="B26" s="49">
        <v>43</v>
      </c>
      <c r="C26" s="17" t="str">
        <f>LOOKUP(B26,{0;18;25;35;45;55;65;75;90},{"&lt;18";"18–24";"25–34";"35–44";"45–54";"55–64";"65–74";"75–89";"&gt;89"})</f>
        <v>35–44</v>
      </c>
      <c r="D26" s="19" t="s">
        <v>19</v>
      </c>
      <c r="E26" s="47">
        <v>37.523875702886301</v>
      </c>
      <c r="F26" s="49">
        <v>8</v>
      </c>
      <c r="G26" s="12" t="s">
        <v>16</v>
      </c>
      <c r="H26" s="12" t="s">
        <v>12</v>
      </c>
      <c r="I26" s="12" t="s">
        <v>17</v>
      </c>
    </row>
    <row r="27" spans="1:9">
      <c r="A27" s="19" t="s">
        <v>44</v>
      </c>
      <c r="B27" s="49">
        <v>45</v>
      </c>
      <c r="C27" s="17" t="str">
        <f>LOOKUP(B27,{0;18;25;35;45;55;65;75;90},{"&lt;18";"18–24";"25–34";"35–44";"45–54";"55–64";"65–74";"75–89";"&gt;89"})</f>
        <v>45–54</v>
      </c>
      <c r="D27" s="19" t="s">
        <v>15</v>
      </c>
      <c r="E27" s="47">
        <v>25.719687418928419</v>
      </c>
      <c r="F27" s="49">
        <v>3</v>
      </c>
      <c r="G27" s="12" t="s">
        <v>16</v>
      </c>
      <c r="H27" s="12" t="s">
        <v>20</v>
      </c>
      <c r="I27" s="12" t="s">
        <v>17</v>
      </c>
    </row>
    <row r="28" spans="1:9">
      <c r="A28" s="19" t="s">
        <v>45</v>
      </c>
      <c r="B28" s="49">
        <v>54</v>
      </c>
      <c r="C28" s="17" t="str">
        <f>LOOKUP(B28,{0;18;25;35;45;55;65;75;90},{"&lt;18";"18–24";"25–34";"35–44";"45–54";"55–64";"65–74";"75–89";"&gt;89"})</f>
        <v>45–54</v>
      </c>
      <c r="D28" s="19" t="s">
        <v>19</v>
      </c>
      <c r="E28" s="47">
        <v>41.027345709241978</v>
      </c>
      <c r="F28" s="49">
        <v>3</v>
      </c>
      <c r="G28" s="12" t="s">
        <v>16</v>
      </c>
      <c r="H28" s="12" t="s">
        <v>20</v>
      </c>
      <c r="I28" s="12" t="s">
        <v>17</v>
      </c>
    </row>
    <row r="29" spans="1:9">
      <c r="A29" s="19" t="s">
        <v>46</v>
      </c>
      <c r="B29" s="49">
        <v>89</v>
      </c>
      <c r="C29" s="17" t="str">
        <f>LOOKUP(B29,{0;18;25;35;45;55;65;75;90},{"&lt;18";"18–24";"25–34";"35–44";"45–54";"55–64";"65–74";"75–89";"&gt;89"})</f>
        <v>75–89</v>
      </c>
      <c r="D29" s="19" t="s">
        <v>10</v>
      </c>
      <c r="E29" s="47">
        <v>17.79898571467616</v>
      </c>
      <c r="F29" s="49">
        <v>1</v>
      </c>
      <c r="G29" s="12" t="s">
        <v>16</v>
      </c>
      <c r="H29" s="12" t="s">
        <v>12</v>
      </c>
      <c r="I29" s="12" t="s">
        <v>17</v>
      </c>
    </row>
    <row r="30" spans="1:9">
      <c r="A30" s="19" t="s">
        <v>47</v>
      </c>
      <c r="B30" s="49">
        <v>25</v>
      </c>
      <c r="C30" s="17" t="str">
        <f>LOOKUP(B30,{0;18;25;35;45;55;65;75;90},{"&lt;18";"18–24";"25–34";"35–44";"45–54";"55–64";"65–74";"75–89";"&gt;89"})</f>
        <v>25–34</v>
      </c>
      <c r="D30" s="19" t="s">
        <v>10</v>
      </c>
      <c r="E30" s="47">
        <v>18.55408902598862</v>
      </c>
      <c r="F30" s="49">
        <v>5</v>
      </c>
      <c r="G30" s="12" t="s">
        <v>16</v>
      </c>
      <c r="H30" s="12" t="s">
        <v>12</v>
      </c>
      <c r="I30" s="12" t="s">
        <v>17</v>
      </c>
    </row>
    <row r="31" spans="1:9">
      <c r="A31" s="19" t="s">
        <v>48</v>
      </c>
      <c r="B31" s="49">
        <v>39</v>
      </c>
      <c r="C31" s="17" t="str">
        <f>LOOKUP(B31,{0;18;25;35;45;55;65;75;90},{"&lt;18";"18–24";"25–34";"35–44";"45–54";"55–64";"65–74";"75–89";"&gt;89"})</f>
        <v>35–44</v>
      </c>
      <c r="D31" s="19" t="s">
        <v>15</v>
      </c>
      <c r="E31" s="47">
        <v>23.848461691209</v>
      </c>
      <c r="F31" s="49">
        <v>8</v>
      </c>
      <c r="G31" s="12" t="s">
        <v>16</v>
      </c>
      <c r="H31" s="12" t="s">
        <v>12</v>
      </c>
      <c r="I31" s="12" t="s">
        <v>49</v>
      </c>
    </row>
    <row r="32" spans="1:9">
      <c r="A32" s="19" t="s">
        <v>50</v>
      </c>
      <c r="B32" s="49">
        <v>32</v>
      </c>
      <c r="C32" s="17" t="str">
        <f>LOOKUP(B32,{0;18;25;35;45;55;65;75;90},{"&lt;18";"18–24";"25–34";"35–44";"45–54";"55–64";"65–74";"75–89";"&gt;89"})</f>
        <v>25–34</v>
      </c>
      <c r="D32" s="19" t="s">
        <v>10</v>
      </c>
      <c r="E32" s="47">
        <v>19.734761867508698</v>
      </c>
      <c r="F32" s="49">
        <v>3</v>
      </c>
      <c r="G32" s="12" t="s">
        <v>16</v>
      </c>
      <c r="H32" s="12" t="s">
        <v>12</v>
      </c>
      <c r="I32" s="12" t="s">
        <v>29</v>
      </c>
    </row>
    <row r="33" spans="1:9">
      <c r="A33" s="19" t="s">
        <v>51</v>
      </c>
      <c r="B33" s="49">
        <v>23</v>
      </c>
      <c r="C33" s="17" t="str">
        <f>LOOKUP(B33,{0;18;25;35;45;55;65;75;90},{"&lt;18";"18–24";"25–34";"35–44";"45–54";"55–64";"65–74";"75–89";"&gt;89"})</f>
        <v>18–24</v>
      </c>
      <c r="D33" s="19" t="s">
        <v>15</v>
      </c>
      <c r="E33" s="47">
        <v>42.303983996521289</v>
      </c>
      <c r="F33" s="49">
        <v>10</v>
      </c>
      <c r="G33" s="12" t="s">
        <v>16</v>
      </c>
      <c r="H33" s="12" t="s">
        <v>20</v>
      </c>
      <c r="I33" s="12" t="s">
        <v>17</v>
      </c>
    </row>
    <row r="34" spans="1:9">
      <c r="A34" s="19" t="s">
        <v>52</v>
      </c>
      <c r="B34" s="49">
        <v>56</v>
      </c>
      <c r="C34" s="17" t="str">
        <f>LOOKUP(B34,{0;18;25;35;45;55;65;75;90},{"&lt;18";"18–24";"25–34";"35–44";"45–54";"55–64";"65–74";"75–89";"&gt;89"})</f>
        <v>55–64</v>
      </c>
      <c r="D34" s="19" t="s">
        <v>10</v>
      </c>
      <c r="E34" s="47">
        <v>24.025856595678089</v>
      </c>
      <c r="F34" s="49">
        <v>9</v>
      </c>
      <c r="G34" s="12" t="s">
        <v>16</v>
      </c>
      <c r="H34" s="12" t="s">
        <v>12</v>
      </c>
      <c r="I34" s="12" t="s">
        <v>29</v>
      </c>
    </row>
    <row r="35" spans="1:9">
      <c r="A35" s="19" t="s">
        <v>53</v>
      </c>
      <c r="B35" s="49">
        <v>26</v>
      </c>
      <c r="C35" s="17" t="str">
        <f>LOOKUP(B35,{0;18;25;35;45;55;65;75;90},{"&lt;18";"18–24";"25–34";"35–44";"45–54";"55–64";"65–74";"75–89";"&gt;89"})</f>
        <v>25–34</v>
      </c>
      <c r="D35" s="19" t="s">
        <v>15</v>
      </c>
      <c r="E35" s="47">
        <v>9.9184819564472999</v>
      </c>
      <c r="F35" s="49">
        <v>7</v>
      </c>
      <c r="G35" s="12" t="s">
        <v>16</v>
      </c>
      <c r="H35" s="12" t="s">
        <v>20</v>
      </c>
      <c r="I35" s="12" t="s">
        <v>49</v>
      </c>
    </row>
    <row r="36" spans="1:9">
      <c r="A36" s="19" t="s">
        <v>54</v>
      </c>
      <c r="B36" s="49">
        <v>37</v>
      </c>
      <c r="C36" s="17" t="str">
        <f>LOOKUP(B36,{0;18;25;35;45;55;65;75;90},{"&lt;18";"18–24";"25–34";"35–44";"45–54";"55–64";"65–74";"75–89";"&gt;89"})</f>
        <v>35–44</v>
      </c>
      <c r="D36" s="19" t="s">
        <v>19</v>
      </c>
      <c r="E36" s="47">
        <v>31.735386651978711</v>
      </c>
      <c r="F36" s="49">
        <v>5</v>
      </c>
      <c r="G36" s="12" t="s">
        <v>16</v>
      </c>
      <c r="H36" s="12" t="s">
        <v>20</v>
      </c>
      <c r="I36" s="12" t="s">
        <v>55</v>
      </c>
    </row>
    <row r="37" spans="1:9">
      <c r="A37" s="19" t="s">
        <v>56</v>
      </c>
      <c r="B37" s="49">
        <v>26</v>
      </c>
      <c r="C37" s="17" t="str">
        <f>LOOKUP(B37,{0;18;25;35;45;55;65;75;90},{"&lt;18";"18–24";"25–34";"35–44";"45–54";"55–64";"65–74";"75–89";"&gt;89"})</f>
        <v>25–34</v>
      </c>
      <c r="D37" s="19" t="s">
        <v>15</v>
      </c>
      <c r="E37" s="47">
        <v>32.826014793724049</v>
      </c>
      <c r="F37" s="49">
        <v>10</v>
      </c>
      <c r="G37" s="12" t="s">
        <v>16</v>
      </c>
      <c r="H37" s="12" t="s">
        <v>20</v>
      </c>
      <c r="I37" s="12" t="s">
        <v>17</v>
      </c>
    </row>
    <row r="38" spans="1:9">
      <c r="A38" s="19" t="s">
        <v>57</v>
      </c>
      <c r="B38" s="49">
        <v>40</v>
      </c>
      <c r="C38" s="17" t="str">
        <f>LOOKUP(B38,{0;18;25;35;45;55;65;75;90},{"&lt;18";"18–24";"25–34";"35–44";"45–54";"55–64";"65–74";"75–89";"&gt;89"})</f>
        <v>35–44</v>
      </c>
      <c r="D38" s="19" t="s">
        <v>15</v>
      </c>
      <c r="E38" s="47">
        <v>15.3428089890389</v>
      </c>
      <c r="F38" s="49">
        <v>9</v>
      </c>
      <c r="G38" s="12" t="s">
        <v>16</v>
      </c>
      <c r="H38" s="12" t="s">
        <v>12</v>
      </c>
      <c r="I38" s="12" t="s">
        <v>17</v>
      </c>
    </row>
    <row r="39" spans="1:9">
      <c r="A39" s="19" t="s">
        <v>58</v>
      </c>
      <c r="B39" s="49">
        <v>19</v>
      </c>
      <c r="C39" s="17" t="str">
        <f>LOOKUP(B39,{0;18;25;35;45;55;65;75;90},{"&lt;18";"18–24";"25–34";"35–44";"45–54";"55–64";"65–74";"75–89";"&gt;89"})</f>
        <v>18–24</v>
      </c>
      <c r="D39" s="19" t="s">
        <v>19</v>
      </c>
      <c r="E39" s="47">
        <v>36.786246952886898</v>
      </c>
      <c r="F39" s="49">
        <v>10</v>
      </c>
      <c r="G39" s="12" t="s">
        <v>11</v>
      </c>
      <c r="H39" s="12" t="s">
        <v>20</v>
      </c>
      <c r="I39" s="12" t="s">
        <v>17</v>
      </c>
    </row>
    <row r="40" spans="1:9">
      <c r="A40" s="19" t="s">
        <v>59</v>
      </c>
      <c r="B40" s="49">
        <v>38</v>
      </c>
      <c r="C40" s="17" t="str">
        <f>LOOKUP(B40,{0;18;25;35;45;55;65;75;90},{"&lt;18";"18–24";"25–34";"35–44";"45–54";"55–64";"65–74";"75–89";"&gt;89"})</f>
        <v>35–44</v>
      </c>
      <c r="D40" s="19" t="s">
        <v>10</v>
      </c>
      <c r="E40" s="47">
        <v>19.862430802250721</v>
      </c>
      <c r="F40" s="49">
        <v>4</v>
      </c>
      <c r="G40" s="12" t="s">
        <v>16</v>
      </c>
      <c r="H40" s="12" t="s">
        <v>20</v>
      </c>
      <c r="I40" s="12" t="s">
        <v>17</v>
      </c>
    </row>
    <row r="41" spans="1:9">
      <c r="A41" s="19" t="s">
        <v>60</v>
      </c>
      <c r="B41" s="49">
        <v>61</v>
      </c>
      <c r="C41" s="17" t="str">
        <f>LOOKUP(B41,{0;18;25;35;45;55;65;75;90},{"&lt;18";"18–24";"25–34";"35–44";"45–54";"55–64";"65–74";"75–89";"&gt;89"})</f>
        <v>55–64</v>
      </c>
      <c r="D41" s="19" t="s">
        <v>15</v>
      </c>
      <c r="E41" s="47">
        <v>28.3623221768419</v>
      </c>
      <c r="F41" s="49">
        <v>9</v>
      </c>
      <c r="G41" s="12" t="s">
        <v>16</v>
      </c>
      <c r="H41" s="12" t="s">
        <v>12</v>
      </c>
      <c r="I41" s="12" t="s">
        <v>49</v>
      </c>
    </row>
    <row r="42" spans="1:9">
      <c r="A42" s="19" t="s">
        <v>61</v>
      </c>
      <c r="B42" s="49">
        <v>31</v>
      </c>
      <c r="C42" s="17" t="str">
        <f>LOOKUP(B42,{0;18;25;35;45;55;65;75;90},{"&lt;18";"18–24";"25–34";"35–44";"45–54";"55–64";"65–74";"75–89";"&gt;89"})</f>
        <v>25–34</v>
      </c>
      <c r="D42" s="19" t="s">
        <v>10</v>
      </c>
      <c r="E42" s="47">
        <v>19.31379388111689</v>
      </c>
      <c r="F42" s="49">
        <v>4</v>
      </c>
      <c r="G42" s="12" t="s">
        <v>16</v>
      </c>
      <c r="H42" s="12" t="s">
        <v>12</v>
      </c>
      <c r="I42" s="12" t="s">
        <v>29</v>
      </c>
    </row>
    <row r="43" spans="1:9">
      <c r="A43" s="19" t="s">
        <v>62</v>
      </c>
      <c r="B43" s="49">
        <v>44</v>
      </c>
      <c r="C43" s="17" t="str">
        <f>LOOKUP(B43,{0;18;25;35;45;55;65;75;90},{"&lt;18";"18–24";"25–34";"35–44";"45–54";"55–64";"65–74";"75–89";"&gt;89"})</f>
        <v>35–44</v>
      </c>
      <c r="D43" s="19" t="s">
        <v>15</v>
      </c>
      <c r="E43" s="47">
        <v>18.449021870195001</v>
      </c>
      <c r="F43" s="49">
        <v>10</v>
      </c>
      <c r="G43" s="12" t="s">
        <v>16</v>
      </c>
      <c r="H43" s="12" t="s">
        <v>12</v>
      </c>
      <c r="I43" s="12" t="s">
        <v>17</v>
      </c>
    </row>
    <row r="44" spans="1:9">
      <c r="A44" s="19" t="s">
        <v>63</v>
      </c>
      <c r="B44" s="49">
        <v>57</v>
      </c>
      <c r="C44" s="17" t="str">
        <f>LOOKUP(B44,{0;18;25;35;45;55;65;75;90},{"&lt;18";"18–24";"25–34";"35–44";"45–54";"55–64";"65–74";"75–89";"&gt;89"})</f>
        <v>55–64</v>
      </c>
      <c r="D44" s="19" t="s">
        <v>19</v>
      </c>
      <c r="E44" s="47">
        <v>24.93870330734746</v>
      </c>
      <c r="F44" s="49">
        <v>8</v>
      </c>
      <c r="G44" s="12" t="s">
        <v>16</v>
      </c>
      <c r="H44" s="12" t="s">
        <v>12</v>
      </c>
      <c r="I44" s="12" t="s">
        <v>17</v>
      </c>
    </row>
    <row r="45" spans="1:9">
      <c r="A45" s="19" t="s">
        <v>64</v>
      </c>
      <c r="B45" s="49">
        <v>39</v>
      </c>
      <c r="C45" s="17" t="str">
        <f>LOOKUP(B45,{0;18;25;35;45;55;65;75;90},{"&lt;18";"18–24";"25–34";"35–44";"45–54";"55–64";"65–74";"75–89";"&gt;89"})</f>
        <v>35–44</v>
      </c>
      <c r="D45" s="19" t="s">
        <v>19</v>
      </c>
      <c r="E45" s="47">
        <v>35.144413286142289</v>
      </c>
      <c r="F45" s="49">
        <v>10</v>
      </c>
      <c r="G45" s="12" t="s">
        <v>11</v>
      </c>
      <c r="H45" s="12" t="s">
        <v>20</v>
      </c>
      <c r="I45" s="12" t="s">
        <v>17</v>
      </c>
    </row>
    <row r="46" spans="1:9">
      <c r="A46" s="19" t="s">
        <v>65</v>
      </c>
      <c r="B46" s="49">
        <v>33</v>
      </c>
      <c r="C46" s="17" t="str">
        <f>LOOKUP(B46,{0;18;25;35;45;55;65;75;90},{"&lt;18";"18–24";"25–34";"35–44";"45–54";"55–64";"65–74";"75–89";"&gt;89"})</f>
        <v>25–34</v>
      </c>
      <c r="D46" s="19" t="s">
        <v>15</v>
      </c>
      <c r="E46" s="47">
        <v>16.014367075476599</v>
      </c>
      <c r="F46" s="49">
        <v>4</v>
      </c>
      <c r="G46" s="12" t="s">
        <v>16</v>
      </c>
      <c r="H46" s="12" t="s">
        <v>12</v>
      </c>
      <c r="I46" s="12" t="s">
        <v>17</v>
      </c>
    </row>
    <row r="47" spans="1:9">
      <c r="A47" s="19" t="s">
        <v>66</v>
      </c>
      <c r="B47" s="49">
        <v>25</v>
      </c>
      <c r="C47" s="17" t="str">
        <f>LOOKUP(B47,{0;18;25;35;45;55;65;75;90},{"&lt;18";"18–24";"25–34";"35–44";"45–54";"55–64";"65–74";"75–89";"&gt;89"})</f>
        <v>25–34</v>
      </c>
      <c r="D47" s="19" t="s">
        <v>10</v>
      </c>
      <c r="E47" s="47">
        <v>23.2130636370932</v>
      </c>
      <c r="F47" s="49">
        <v>6</v>
      </c>
      <c r="G47" s="12" t="s">
        <v>11</v>
      </c>
      <c r="H47" s="12" t="s">
        <v>12</v>
      </c>
      <c r="I47" s="12" t="s">
        <v>17</v>
      </c>
    </row>
    <row r="48" spans="1:9">
      <c r="A48" s="19" t="s">
        <v>67</v>
      </c>
      <c r="B48" s="49">
        <v>22</v>
      </c>
      <c r="C48" s="17" t="str">
        <f>LOOKUP(B48,{0;18;25;35;45;55;65;75;90},{"&lt;18";"18–24";"25–34";"35–44";"45–54";"55–64";"65–74";"75–89";"&gt;89"})</f>
        <v>18–24</v>
      </c>
      <c r="D48" s="19" t="s">
        <v>10</v>
      </c>
      <c r="E48" s="47">
        <v>31.3473370097045</v>
      </c>
      <c r="F48" s="49">
        <v>4</v>
      </c>
      <c r="G48" s="12" t="s">
        <v>16</v>
      </c>
      <c r="H48" s="12" t="s">
        <v>12</v>
      </c>
      <c r="I48" s="12" t="s">
        <v>17</v>
      </c>
    </row>
    <row r="49" spans="1:9">
      <c r="A49" s="19" t="s">
        <v>68</v>
      </c>
      <c r="B49" s="49">
        <v>37</v>
      </c>
      <c r="C49" s="17" t="str">
        <f>LOOKUP(B49,{0;18;25;35;45;55;65;75;90},{"&lt;18";"18–24";"25–34";"35–44";"45–54";"55–64";"65–74";"75–89";"&gt;89"})</f>
        <v>35–44</v>
      </c>
      <c r="D49" s="19" t="s">
        <v>15</v>
      </c>
      <c r="E49" s="47">
        <v>11.121253083965509</v>
      </c>
      <c r="F49" s="49">
        <v>7</v>
      </c>
      <c r="G49" s="12" t="s">
        <v>16</v>
      </c>
      <c r="H49" s="12" t="s">
        <v>12</v>
      </c>
      <c r="I49" s="12" t="s">
        <v>17</v>
      </c>
    </row>
    <row r="50" spans="1:9">
      <c r="A50" s="19" t="s">
        <v>69</v>
      </c>
      <c r="B50" s="49">
        <v>44</v>
      </c>
      <c r="C50" s="17" t="str">
        <f>LOOKUP(B50,{0;18;25;35;45;55;65;75;90},{"&lt;18";"18–24";"25–34";"35–44";"45–54";"55–64";"65–74";"75–89";"&gt;89"})</f>
        <v>35–44</v>
      </c>
      <c r="D50" s="19" t="s">
        <v>19</v>
      </c>
      <c r="E50" s="47">
        <v>37.130885649335802</v>
      </c>
      <c r="F50" s="49">
        <v>9</v>
      </c>
      <c r="G50" s="12" t="s">
        <v>16</v>
      </c>
      <c r="H50" s="12" t="s">
        <v>20</v>
      </c>
      <c r="I50" s="12" t="s">
        <v>17</v>
      </c>
    </row>
    <row r="51" spans="1:9">
      <c r="A51" s="19" t="s">
        <v>70</v>
      </c>
      <c r="B51" s="49">
        <v>56</v>
      </c>
      <c r="C51" s="17" t="str">
        <f>LOOKUP(B51,{0;18;25;35;45;55;65;75;90},{"&lt;18";"18–24";"25–34";"35–44";"45–54";"55–64";"65–74";"75–89";"&gt;89"})</f>
        <v>55–64</v>
      </c>
      <c r="D51" s="19" t="s">
        <v>15</v>
      </c>
      <c r="E51" s="47">
        <v>10.2911598806757</v>
      </c>
      <c r="F51" s="49">
        <v>8</v>
      </c>
      <c r="G51" s="12" t="s">
        <v>11</v>
      </c>
      <c r="H51" s="12" t="s">
        <v>12</v>
      </c>
      <c r="I51" s="12" t="s">
        <v>17</v>
      </c>
    </row>
    <row r="52" spans="1:9">
      <c r="A52" s="19" t="s">
        <v>71</v>
      </c>
      <c r="B52" s="49">
        <v>45</v>
      </c>
      <c r="C52" s="17" t="str">
        <f>LOOKUP(B52,{0;18;25;35;45;55;65;75;90},{"&lt;18";"18–24";"25–34";"35–44";"45–54";"55–64";"65–74";"75–89";"&gt;89"})</f>
        <v>45–54</v>
      </c>
      <c r="D52" s="19" t="s">
        <v>19</v>
      </c>
      <c r="E52" s="47">
        <v>17.316560145487109</v>
      </c>
      <c r="F52" s="49">
        <v>6</v>
      </c>
      <c r="G52" s="12" t="s">
        <v>16</v>
      </c>
      <c r="H52" s="12" t="s">
        <v>20</v>
      </c>
      <c r="I52" s="12" t="s">
        <v>17</v>
      </c>
    </row>
    <row r="53" spans="1:9">
      <c r="A53" s="19" t="s">
        <v>72</v>
      </c>
      <c r="B53" s="49">
        <v>26</v>
      </c>
      <c r="C53" s="17" t="str">
        <f>LOOKUP(B53,{0;18;25;35;45;55;65;75;90},{"&lt;18";"18–24";"25–34";"35–44";"45–54";"55–64";"65–74";"75–89";"&gt;89"})</f>
        <v>25–34</v>
      </c>
      <c r="D53" s="19" t="s">
        <v>15</v>
      </c>
      <c r="E53" s="47">
        <v>22.9613180638956</v>
      </c>
      <c r="F53" s="49">
        <v>7</v>
      </c>
      <c r="G53" s="12" t="s">
        <v>16</v>
      </c>
      <c r="H53" s="12" t="s">
        <v>12</v>
      </c>
      <c r="I53" s="12" t="s">
        <v>73</v>
      </c>
    </row>
    <row r="54" spans="1:9">
      <c r="A54" s="19" t="s">
        <v>74</v>
      </c>
      <c r="B54" s="49">
        <v>24</v>
      </c>
      <c r="C54" s="17" t="str">
        <f>LOOKUP(B54,{0;18;25;35;45;55;65;75;90},{"&lt;18";"18–24";"25–34";"35–44";"45–54";"55–64";"65–74";"75–89";"&gt;89"})</f>
        <v>18–24</v>
      </c>
      <c r="D54" s="19" t="s">
        <v>10</v>
      </c>
      <c r="E54" s="47">
        <v>18.391804242589831</v>
      </c>
      <c r="F54" s="49">
        <v>6</v>
      </c>
      <c r="G54" s="12" t="s">
        <v>16</v>
      </c>
      <c r="H54" s="12" t="s">
        <v>20</v>
      </c>
      <c r="I54" s="12" t="s">
        <v>49</v>
      </c>
    </row>
    <row r="55" spans="1:9">
      <c r="A55" s="19" t="s">
        <v>75</v>
      </c>
      <c r="B55" s="49">
        <v>42</v>
      </c>
      <c r="C55" s="17" t="str">
        <f>LOOKUP(B55,{0;18;25;35;45;55;65;75;90},{"&lt;18";"18–24";"25–34";"35–44";"45–54";"55–64";"65–74";"75–89";"&gt;89"})</f>
        <v>35–44</v>
      </c>
      <c r="D55" s="19" t="s">
        <v>10</v>
      </c>
      <c r="E55" s="47">
        <v>8.5020765695894998</v>
      </c>
      <c r="F55" s="49">
        <v>8</v>
      </c>
      <c r="G55" s="12" t="s">
        <v>16</v>
      </c>
      <c r="H55" s="12" t="s">
        <v>12</v>
      </c>
      <c r="I55" s="12" t="s">
        <v>49</v>
      </c>
    </row>
    <row r="56" spans="1:9">
      <c r="A56" s="19" t="s">
        <v>76</v>
      </c>
      <c r="B56" s="49">
        <v>19</v>
      </c>
      <c r="C56" s="17" t="str">
        <f>LOOKUP(B56,{0;18;25;35;45;55;65;75;90},{"&lt;18";"18–24";"25–34";"35–44";"45–54";"55–64";"65–74";"75–89";"&gt;89"})</f>
        <v>18–24</v>
      </c>
      <c r="D56" s="19" t="s">
        <v>10</v>
      </c>
      <c r="E56" s="47">
        <v>10.492881669734491</v>
      </c>
      <c r="F56" s="49">
        <v>6</v>
      </c>
      <c r="G56" s="12" t="s">
        <v>16</v>
      </c>
      <c r="H56" s="12" t="s">
        <v>12</v>
      </c>
      <c r="I56" s="12" t="s">
        <v>29</v>
      </c>
    </row>
    <row r="57" spans="1:9">
      <c r="A57" s="19" t="s">
        <v>77</v>
      </c>
      <c r="B57" s="49">
        <v>42</v>
      </c>
      <c r="C57" s="17" t="str">
        <f>LOOKUP(B57,{0;18;25;35;45;55;65;75;90},{"&lt;18";"18–24";"25–34";"35–44";"45–54";"55–64";"65–74";"75–89";"&gt;89"})</f>
        <v>35–44</v>
      </c>
      <c r="D57" s="19" t="s">
        <v>15</v>
      </c>
      <c r="E57" s="47">
        <v>22.59754160307077</v>
      </c>
      <c r="F57" s="49">
        <v>7</v>
      </c>
      <c r="G57" s="12" t="s">
        <v>16</v>
      </c>
      <c r="H57" s="12" t="s">
        <v>12</v>
      </c>
      <c r="I57" s="12" t="s">
        <v>17</v>
      </c>
    </row>
    <row r="58" spans="1:9">
      <c r="A58" s="19" t="s">
        <v>78</v>
      </c>
      <c r="B58" s="49">
        <v>31</v>
      </c>
      <c r="C58" s="17" t="str">
        <f>LOOKUP(B58,{0;18;25;35;45;55;65;75;90},{"&lt;18";"18–24";"25–34";"35–44";"45–54";"55–64";"65–74";"75–89";"&gt;89"})</f>
        <v>25–34</v>
      </c>
      <c r="D58" s="19" t="s">
        <v>19</v>
      </c>
      <c r="E58" s="47">
        <v>22.584238635981301</v>
      </c>
      <c r="F58" s="49">
        <v>4</v>
      </c>
      <c r="G58" s="12" t="s">
        <v>16</v>
      </c>
      <c r="H58" s="12" t="s">
        <v>12</v>
      </c>
      <c r="I58" s="12" t="s">
        <v>17</v>
      </c>
    </row>
    <row r="59" spans="1:9">
      <c r="A59" s="19" t="s">
        <v>79</v>
      </c>
      <c r="B59" s="49">
        <v>51</v>
      </c>
      <c r="C59" s="17" t="str">
        <f>LOOKUP(B59,{0;18;25;35;45;55;65;75;90},{"&lt;18";"18–24";"25–34";"35–44";"45–54";"55–64";"65–74";"75–89";"&gt;89"})</f>
        <v>45–54</v>
      </c>
      <c r="D59" s="19" t="s">
        <v>15</v>
      </c>
      <c r="E59" s="47">
        <v>33.50750232562163</v>
      </c>
      <c r="F59" s="49">
        <v>4</v>
      </c>
      <c r="G59" s="12" t="s">
        <v>16</v>
      </c>
      <c r="H59" s="12" t="s">
        <v>20</v>
      </c>
      <c r="I59" s="12" t="s">
        <v>80</v>
      </c>
    </row>
    <row r="60" spans="1:9">
      <c r="A60" s="19" t="s">
        <v>81</v>
      </c>
      <c r="B60" s="49">
        <v>37</v>
      </c>
      <c r="C60" s="17" t="str">
        <f>LOOKUP(B60,{0;18;25;35;45;55;65;75;90},{"&lt;18";"18–24";"25–34";"35–44";"45–54";"55–64";"65–74";"75–89";"&gt;89"})</f>
        <v>35–44</v>
      </c>
      <c r="D60" s="19" t="s">
        <v>19</v>
      </c>
      <c r="E60" s="47">
        <v>18.040858248770771</v>
      </c>
      <c r="F60" s="49">
        <v>6</v>
      </c>
      <c r="G60" s="12" t="s">
        <v>16</v>
      </c>
      <c r="H60" s="12" t="s">
        <v>20</v>
      </c>
      <c r="I60" s="12" t="s">
        <v>13</v>
      </c>
    </row>
    <row r="61" spans="1:9">
      <c r="A61" s="19" t="s">
        <v>82</v>
      </c>
      <c r="B61" s="49">
        <v>25</v>
      </c>
      <c r="C61" s="17" t="str">
        <f>LOOKUP(B61,{0;18;25;35;45;55;65;75;90},{"&lt;18";"18–24";"25–34";"35–44";"45–54";"55–64";"65–74";"75–89";"&gt;89"})</f>
        <v>25–34</v>
      </c>
      <c r="D61" s="19" t="s">
        <v>15</v>
      </c>
      <c r="E61" s="47">
        <v>31.684957433879969</v>
      </c>
      <c r="F61" s="49">
        <v>10</v>
      </c>
      <c r="G61" s="12" t="s">
        <v>16</v>
      </c>
      <c r="H61" s="12" t="s">
        <v>12</v>
      </c>
      <c r="I61" s="12" t="s">
        <v>49</v>
      </c>
    </row>
    <row r="62" spans="1:9">
      <c r="A62" s="19" t="s">
        <v>83</v>
      </c>
      <c r="B62" s="49">
        <v>33</v>
      </c>
      <c r="C62" s="17" t="str">
        <f>LOOKUP(B62,{0;18;25;35;45;55;65;75;90},{"&lt;18";"18–24";"25–34";"35–44";"45–54";"55–64";"65–74";"75–89";"&gt;89"})</f>
        <v>25–34</v>
      </c>
      <c r="D62" s="19" t="s">
        <v>10</v>
      </c>
      <c r="E62" s="47">
        <v>30.312939079910571</v>
      </c>
      <c r="F62" s="49">
        <v>5</v>
      </c>
      <c r="G62" s="12" t="s">
        <v>16</v>
      </c>
      <c r="H62" s="12" t="s">
        <v>20</v>
      </c>
      <c r="I62" s="12" t="s">
        <v>29</v>
      </c>
    </row>
    <row r="63" spans="1:9">
      <c r="A63" s="19" t="s">
        <v>84</v>
      </c>
      <c r="B63" s="49">
        <v>37</v>
      </c>
      <c r="C63" s="17" t="str">
        <f>LOOKUP(B63,{0;18;25;35;45;55;65;75;90},{"&lt;18";"18–24";"25–34";"35–44";"45–54";"55–64";"65–74";"75–89";"&gt;89"})</f>
        <v>35–44</v>
      </c>
      <c r="D63" s="19" t="s">
        <v>15</v>
      </c>
      <c r="E63" s="47">
        <v>33.975690891424861</v>
      </c>
      <c r="F63" s="49">
        <v>7</v>
      </c>
      <c r="G63" s="12" t="s">
        <v>16</v>
      </c>
      <c r="H63" s="12" t="s">
        <v>12</v>
      </c>
      <c r="I63" s="12" t="s">
        <v>17</v>
      </c>
    </row>
    <row r="64" spans="1:9">
      <c r="A64" s="19" t="s">
        <v>85</v>
      </c>
      <c r="B64" s="49">
        <v>36</v>
      </c>
      <c r="C64" s="17" t="str">
        <f>LOOKUP(B64,{0;18;25;35;45;55;65;75;90},{"&lt;18";"18–24";"25–34";"35–44";"45–54";"55–64";"65–74";"75–89";"&gt;89"})</f>
        <v>35–44</v>
      </c>
      <c r="D64" s="19" t="s">
        <v>19</v>
      </c>
      <c r="E64" s="47">
        <v>33.7869670108254</v>
      </c>
      <c r="F64" s="49">
        <v>2</v>
      </c>
      <c r="G64" s="12" t="s">
        <v>16</v>
      </c>
      <c r="H64" s="12" t="s">
        <v>12</v>
      </c>
      <c r="I64" s="12" t="s">
        <v>17</v>
      </c>
    </row>
    <row r="65" spans="1:9">
      <c r="A65" s="19" t="s">
        <v>86</v>
      </c>
      <c r="B65" s="49">
        <v>31</v>
      </c>
      <c r="C65" s="17" t="str">
        <f>LOOKUP(B65,{0;18;25;35;45;55;65;75;90},{"&lt;18";"18–24";"25–34";"35–44";"45–54";"55–64";"65–74";"75–89";"&gt;89"})</f>
        <v>25–34</v>
      </c>
      <c r="D65" s="19" t="s">
        <v>15</v>
      </c>
      <c r="E65" s="47">
        <v>34.127278695586853</v>
      </c>
      <c r="F65" s="49">
        <v>9</v>
      </c>
      <c r="G65" s="12" t="s">
        <v>16</v>
      </c>
      <c r="H65" s="12" t="s">
        <v>20</v>
      </c>
      <c r="I65" s="12" t="s">
        <v>49</v>
      </c>
    </row>
    <row r="66" spans="1:9">
      <c r="A66" s="19" t="s">
        <v>87</v>
      </c>
      <c r="B66" s="49">
        <v>45</v>
      </c>
      <c r="C66" s="17" t="str">
        <f>LOOKUP(B66,{0;18;25;35;45;55;65;75;90},{"&lt;18";"18–24";"25–34";"35–44";"45–54";"55–64";"65–74";"75–89";"&gt;89"})</f>
        <v>45–54</v>
      </c>
      <c r="D66" s="19" t="s">
        <v>10</v>
      </c>
      <c r="E66" s="47">
        <v>34.38353483439721</v>
      </c>
      <c r="F66" s="49">
        <v>1</v>
      </c>
      <c r="G66" s="12" t="s">
        <v>16</v>
      </c>
      <c r="H66" s="12" t="s">
        <v>12</v>
      </c>
      <c r="I66" s="12" t="s">
        <v>17</v>
      </c>
    </row>
    <row r="67" spans="1:9">
      <c r="A67" s="19" t="s">
        <v>88</v>
      </c>
      <c r="B67" s="49">
        <v>52</v>
      </c>
      <c r="C67" s="17" t="str">
        <f>LOOKUP(B67,{0;18;25;35;45;55;65;75;90},{"&lt;18";"18–24";"25–34";"35–44";"45–54";"55–64";"65–74";"75–89";"&gt;89"})</f>
        <v>45–54</v>
      </c>
      <c r="D67" s="19" t="s">
        <v>15</v>
      </c>
      <c r="E67" s="47">
        <v>24.505231035506998</v>
      </c>
      <c r="F67" s="49">
        <v>4</v>
      </c>
      <c r="G67" s="12" t="s">
        <v>11</v>
      </c>
      <c r="H67" s="12" t="s">
        <v>20</v>
      </c>
      <c r="I67" s="12" t="s">
        <v>17</v>
      </c>
    </row>
    <row r="68" spans="1:9">
      <c r="A68" s="19" t="s">
        <v>89</v>
      </c>
      <c r="B68" s="49">
        <v>17</v>
      </c>
      <c r="C68" s="17" t="str">
        <f>LOOKUP(B68,{0;18;25;35;45;55;65;75;90},{"&lt;18";"18–24";"25–34";"35–44";"45–54";"55–64";"65–74";"75–89";"&gt;89"})</f>
        <v>&lt;18</v>
      </c>
      <c r="D68" s="19" t="s">
        <v>15</v>
      </c>
      <c r="E68" s="47">
        <v>34.820164582867498</v>
      </c>
      <c r="F68" s="49">
        <v>9</v>
      </c>
      <c r="G68" s="12" t="s">
        <v>16</v>
      </c>
      <c r="H68" s="12" t="s">
        <v>20</v>
      </c>
      <c r="I68" s="12" t="s">
        <v>17</v>
      </c>
    </row>
    <row r="69" spans="1:9">
      <c r="A69" s="19" t="s">
        <v>90</v>
      </c>
      <c r="B69" s="49">
        <v>44</v>
      </c>
      <c r="C69" s="17" t="str">
        <f>LOOKUP(B69,{0;18;25;35;45;55;65;75;90},{"&lt;18";"18–24";"25–34";"35–44";"45–54";"55–64";"65–74";"75–89";"&gt;89"})</f>
        <v>35–44</v>
      </c>
      <c r="D69" s="19" t="s">
        <v>15</v>
      </c>
      <c r="E69" s="47">
        <v>18.055710122367199</v>
      </c>
      <c r="F69" s="49">
        <v>3</v>
      </c>
      <c r="G69" s="12" t="s">
        <v>16</v>
      </c>
      <c r="H69" s="12" t="s">
        <v>20</v>
      </c>
      <c r="I69" s="12" t="s">
        <v>17</v>
      </c>
    </row>
    <row r="70" spans="1:9">
      <c r="A70" s="19" t="s">
        <v>91</v>
      </c>
      <c r="B70" s="49">
        <v>42</v>
      </c>
      <c r="C70" s="17" t="str">
        <f>LOOKUP(B70,{0;18;25;35;45;55;65;75;90},{"&lt;18";"18–24";"25–34";"35–44";"45–54";"55–64";"65–74";"75–89";"&gt;89"})</f>
        <v>35–44</v>
      </c>
      <c r="D70" s="19" t="s">
        <v>15</v>
      </c>
      <c r="E70" s="47">
        <v>26.882211256680929</v>
      </c>
      <c r="F70" s="49">
        <v>8</v>
      </c>
      <c r="G70" s="12" t="s">
        <v>16</v>
      </c>
      <c r="H70" s="12" t="s">
        <v>20</v>
      </c>
      <c r="I70" s="12" t="s">
        <v>17</v>
      </c>
    </row>
    <row r="71" spans="1:9">
      <c r="A71" s="19" t="s">
        <v>92</v>
      </c>
      <c r="B71" s="49">
        <v>60</v>
      </c>
      <c r="C71" s="17" t="str">
        <f>LOOKUP(B71,{0;18;25;35;45;55;65;75;90},{"&lt;18";"18–24";"25–34";"35–44";"45–54";"55–64";"65–74";"75–89";"&gt;89"})</f>
        <v>55–64</v>
      </c>
      <c r="D71" s="19" t="s">
        <v>19</v>
      </c>
      <c r="E71" s="47">
        <v>40.777256863256603</v>
      </c>
      <c r="F71" s="49">
        <v>1</v>
      </c>
      <c r="G71" s="12" t="s">
        <v>16</v>
      </c>
      <c r="H71" s="12" t="s">
        <v>20</v>
      </c>
      <c r="I71" s="12" t="s">
        <v>17</v>
      </c>
    </row>
    <row r="72" spans="1:9">
      <c r="A72" s="19" t="s">
        <v>93</v>
      </c>
      <c r="B72" s="49">
        <v>58</v>
      </c>
      <c r="C72" s="17" t="str">
        <f>LOOKUP(B72,{0;18;25;35;45;55;65;75;90},{"&lt;18";"18–24";"25–34";"35–44";"45–54";"55–64";"65–74";"75–89";"&gt;89"})</f>
        <v>55–64</v>
      </c>
      <c r="D72" s="19" t="s">
        <v>15</v>
      </c>
      <c r="E72" s="47">
        <v>22.07233335404311</v>
      </c>
      <c r="F72" s="49">
        <v>10</v>
      </c>
      <c r="G72" s="12" t="s">
        <v>16</v>
      </c>
      <c r="H72" s="12" t="s">
        <v>12</v>
      </c>
      <c r="I72" s="12" t="s">
        <v>17</v>
      </c>
    </row>
    <row r="73" spans="1:9">
      <c r="A73" s="19" t="s">
        <v>94</v>
      </c>
      <c r="B73" s="49">
        <v>42</v>
      </c>
      <c r="C73" s="17" t="str">
        <f>LOOKUP(B73,{0;18;25;35;45;55;65;75;90},{"&lt;18";"18–24";"25–34";"35–44";"45–54";"55–64";"65–74";"75–89";"&gt;89"})</f>
        <v>35–44</v>
      </c>
      <c r="D73" s="19" t="s">
        <v>15</v>
      </c>
      <c r="E73" s="47">
        <v>28.010961410019888</v>
      </c>
      <c r="F73" s="49">
        <v>5</v>
      </c>
      <c r="G73" s="12" t="s">
        <v>16</v>
      </c>
      <c r="H73" s="12" t="s">
        <v>12</v>
      </c>
      <c r="I73" s="12" t="s">
        <v>49</v>
      </c>
    </row>
    <row r="74" spans="1:9">
      <c r="A74" s="19" t="s">
        <v>95</v>
      </c>
      <c r="B74" s="49">
        <v>51</v>
      </c>
      <c r="C74" s="17" t="str">
        <f>LOOKUP(B74,{0;18;25;35;45;55;65;75;90},{"&lt;18";"18–24";"25–34";"35–44";"45–54";"55–64";"65–74";"75–89";"&gt;89"})</f>
        <v>45–54</v>
      </c>
      <c r="D74" s="19" t="s">
        <v>19</v>
      </c>
      <c r="E74" s="47">
        <v>42.679984777863687</v>
      </c>
      <c r="F74" s="49">
        <v>7</v>
      </c>
      <c r="G74" s="12" t="s">
        <v>11</v>
      </c>
      <c r="H74" s="12" t="s">
        <v>20</v>
      </c>
      <c r="I74" s="12" t="s">
        <v>17</v>
      </c>
    </row>
    <row r="75" spans="1:9">
      <c r="A75" s="19" t="s">
        <v>96</v>
      </c>
      <c r="B75" s="49">
        <v>54</v>
      </c>
      <c r="C75" s="17" t="str">
        <f>LOOKUP(B75,{0;18;25;35;45;55;65;75;90},{"&lt;18";"18–24";"25–34";"35–44";"45–54";"55–64";"65–74";"75–89";"&gt;89"})</f>
        <v>45–54</v>
      </c>
      <c r="D75" s="19" t="s">
        <v>15</v>
      </c>
      <c r="E75" s="47">
        <v>38.429882958056652</v>
      </c>
      <c r="F75" s="49">
        <v>9</v>
      </c>
      <c r="G75" s="12" t="s">
        <v>11</v>
      </c>
      <c r="H75" s="12" t="s">
        <v>20</v>
      </c>
      <c r="I75" s="12" t="s">
        <v>29</v>
      </c>
    </row>
    <row r="76" spans="1:9">
      <c r="A76" s="19" t="s">
        <v>97</v>
      </c>
      <c r="B76" s="49">
        <v>36</v>
      </c>
      <c r="C76" s="17" t="str">
        <f>LOOKUP(B76,{0;18;25;35;45;55;65;75;90},{"&lt;18";"18–24";"25–34";"35–44";"45–54";"55–64";"65–74";"75–89";"&gt;89"})</f>
        <v>35–44</v>
      </c>
      <c r="D76" s="19" t="s">
        <v>15</v>
      </c>
      <c r="E76" s="47">
        <v>25.12809338285042</v>
      </c>
      <c r="F76" s="49">
        <v>7</v>
      </c>
      <c r="G76" s="12" t="s">
        <v>16</v>
      </c>
      <c r="H76" s="12" t="s">
        <v>12</v>
      </c>
      <c r="I76" s="12" t="s">
        <v>29</v>
      </c>
    </row>
    <row r="77" spans="1:9">
      <c r="A77" s="19" t="s">
        <v>98</v>
      </c>
      <c r="B77" s="49">
        <v>28</v>
      </c>
      <c r="C77" s="17" t="str">
        <f>LOOKUP(B77,{0;18;25;35;45;55;65;75;90},{"&lt;18";"18–24";"25–34";"35–44";"45–54";"55–64";"65–74";"75–89";"&gt;89"})</f>
        <v>25–34</v>
      </c>
      <c r="D77" s="19" t="s">
        <v>19</v>
      </c>
      <c r="E77" s="47">
        <v>23.18772628073194</v>
      </c>
      <c r="F77" s="49">
        <v>6</v>
      </c>
      <c r="G77" s="12" t="s">
        <v>16</v>
      </c>
      <c r="H77" s="12" t="s">
        <v>20</v>
      </c>
      <c r="I77" s="12" t="s">
        <v>13</v>
      </c>
    </row>
    <row r="78" spans="1:9">
      <c r="A78" s="19" t="s">
        <v>99</v>
      </c>
      <c r="B78" s="49">
        <v>37</v>
      </c>
      <c r="C78" s="17" t="str">
        <f>LOOKUP(B78,{0;18;25;35;45;55;65;75;90},{"&lt;18";"18–24";"25–34";"35–44";"45–54";"55–64";"65–74";"75–89";"&gt;89"})</f>
        <v>35–44</v>
      </c>
      <c r="D78" s="19" t="s">
        <v>15</v>
      </c>
      <c r="E78" s="47">
        <v>37.611280227429177</v>
      </c>
      <c r="F78" s="49">
        <v>10</v>
      </c>
      <c r="G78" s="12" t="s">
        <v>16</v>
      </c>
      <c r="H78" s="12" t="s">
        <v>12</v>
      </c>
      <c r="I78" s="12" t="s">
        <v>17</v>
      </c>
    </row>
    <row r="79" spans="1:9">
      <c r="A79" s="19" t="s">
        <v>100</v>
      </c>
      <c r="B79" s="49">
        <v>24</v>
      </c>
      <c r="C79" s="17" t="str">
        <f>LOOKUP(B79,{0;18;25;35;45;55;65;75;90},{"&lt;18";"18–24";"25–34";"35–44";"45–54";"55–64";"65–74";"75–89";"&gt;89"})</f>
        <v>18–24</v>
      </c>
      <c r="D79" s="19" t="s">
        <v>10</v>
      </c>
      <c r="E79" s="47">
        <v>29.964764164907351</v>
      </c>
      <c r="F79" s="49">
        <v>2</v>
      </c>
      <c r="G79" s="12" t="s">
        <v>16</v>
      </c>
      <c r="H79" s="12" t="s">
        <v>12</v>
      </c>
      <c r="I79" s="12" t="s">
        <v>17</v>
      </c>
    </row>
    <row r="80" spans="1:9">
      <c r="A80" s="19" t="s">
        <v>101</v>
      </c>
      <c r="B80" s="49">
        <v>18</v>
      </c>
      <c r="C80" s="17" t="str">
        <f>LOOKUP(B80,{0;18;25;35;45;55;65;75;90},{"&lt;18";"18–24";"25–34";"35–44";"45–54";"55–64";"65–74";"75–89";"&gt;89"})</f>
        <v>18–24</v>
      </c>
      <c r="D80" s="19" t="s">
        <v>19</v>
      </c>
      <c r="E80" s="47">
        <v>43.755353382465081</v>
      </c>
      <c r="F80" s="49">
        <v>2</v>
      </c>
      <c r="G80" s="12" t="s">
        <v>16</v>
      </c>
      <c r="H80" s="12" t="s">
        <v>20</v>
      </c>
      <c r="I80" s="12" t="s">
        <v>80</v>
      </c>
    </row>
    <row r="81" spans="1:9">
      <c r="A81" s="19" t="s">
        <v>102</v>
      </c>
      <c r="B81" s="49">
        <v>59</v>
      </c>
      <c r="C81" s="17" t="str">
        <f>LOOKUP(B81,{0;18;25;35;45;55;65;75;90},{"&lt;18";"18–24";"25–34";"35–44";"45–54";"55–64";"65–74";"75–89";"&gt;89"})</f>
        <v>55–64</v>
      </c>
      <c r="D81" s="19" t="s">
        <v>15</v>
      </c>
      <c r="E81" s="47">
        <v>18.249818914201771</v>
      </c>
      <c r="F81" s="49">
        <v>7</v>
      </c>
      <c r="G81" s="12" t="s">
        <v>16</v>
      </c>
      <c r="H81" s="12" t="s">
        <v>20</v>
      </c>
      <c r="I81" s="12" t="s">
        <v>13</v>
      </c>
    </row>
    <row r="82" spans="1:9">
      <c r="A82" s="19" t="s">
        <v>103</v>
      </c>
      <c r="B82" s="49">
        <v>40</v>
      </c>
      <c r="C82" s="17" t="str">
        <f>LOOKUP(B82,{0;18;25;35;45;55;65;75;90},{"&lt;18";"18–24";"25–34";"35–44";"45–54";"55–64";"65–74";"75–89";"&gt;89"})</f>
        <v>35–44</v>
      </c>
      <c r="D82" s="19" t="s">
        <v>19</v>
      </c>
      <c r="E82" s="47">
        <v>20.06374884993506</v>
      </c>
      <c r="F82" s="49">
        <v>1</v>
      </c>
      <c r="G82" s="12" t="s">
        <v>16</v>
      </c>
      <c r="H82" s="12" t="s">
        <v>20</v>
      </c>
      <c r="I82" s="12" t="s">
        <v>13</v>
      </c>
    </row>
    <row r="83" spans="1:9">
      <c r="A83" s="19" t="s">
        <v>104</v>
      </c>
      <c r="B83" s="49">
        <v>22</v>
      </c>
      <c r="C83" s="17" t="str">
        <f>LOOKUP(B83,{0;18;25;35;45;55;65;75;90},{"&lt;18";"18–24";"25–34";"35–44";"45–54";"55–64";"65–74";"75–89";"&gt;89"})</f>
        <v>18–24</v>
      </c>
      <c r="D83" s="19" t="s">
        <v>15</v>
      </c>
      <c r="E83" s="47">
        <v>34.702426149173057</v>
      </c>
      <c r="F83" s="49">
        <v>10</v>
      </c>
      <c r="G83" s="12" t="s">
        <v>16</v>
      </c>
      <c r="H83" s="12" t="s">
        <v>12</v>
      </c>
      <c r="I83" s="12" t="s">
        <v>29</v>
      </c>
    </row>
    <row r="84" spans="1:9">
      <c r="A84" s="19" t="s">
        <v>105</v>
      </c>
      <c r="B84" s="49">
        <v>22</v>
      </c>
      <c r="C84" s="17" t="str">
        <f>LOOKUP(B84,{0;18;25;35;45;55;65;75;90},{"&lt;18";"18–24";"25–34";"35–44";"45–54";"55–64";"65–74";"75–89";"&gt;89"})</f>
        <v>18–24</v>
      </c>
      <c r="D84" s="19" t="s">
        <v>10</v>
      </c>
      <c r="E84" s="47">
        <v>13.105498217535439</v>
      </c>
      <c r="F84" s="49">
        <v>5</v>
      </c>
      <c r="G84" s="12" t="s">
        <v>16</v>
      </c>
      <c r="H84" s="12" t="s">
        <v>12</v>
      </c>
      <c r="I84" s="12" t="s">
        <v>29</v>
      </c>
    </row>
    <row r="85" spans="1:9">
      <c r="A85" s="19" t="s">
        <v>106</v>
      </c>
      <c r="B85" s="49">
        <v>37</v>
      </c>
      <c r="C85" s="17" t="str">
        <f>LOOKUP(B85,{0;18;25;35;45;55;65;75;90},{"&lt;18";"18–24";"25–34";"35–44";"45–54";"55–64";"65–74";"75–89";"&gt;89"})</f>
        <v>35–44</v>
      </c>
      <c r="D85" s="19" t="s">
        <v>15</v>
      </c>
      <c r="E85" s="47">
        <v>11.41371879429702</v>
      </c>
      <c r="F85" s="49">
        <v>6</v>
      </c>
      <c r="G85" s="12" t="s">
        <v>16</v>
      </c>
      <c r="H85" s="12" t="s">
        <v>12</v>
      </c>
      <c r="I85" s="12" t="s">
        <v>49</v>
      </c>
    </row>
    <row r="86" spans="1:9">
      <c r="A86" s="19" t="s">
        <v>107</v>
      </c>
      <c r="B86" s="49">
        <v>31</v>
      </c>
      <c r="C86" s="17" t="str">
        <f>LOOKUP(B86,{0;18;25;35;45;55;65;75;90},{"&lt;18";"18–24";"25–34";"35–44";"45–54";"55–64";"65–74";"75–89";"&gt;89"})</f>
        <v>25–34</v>
      </c>
      <c r="D86" s="19" t="s">
        <v>19</v>
      </c>
      <c r="E86" s="47">
        <v>39.669080120597698</v>
      </c>
      <c r="F86" s="49">
        <v>4</v>
      </c>
      <c r="G86" s="12" t="s">
        <v>16</v>
      </c>
      <c r="H86" s="12" t="s">
        <v>20</v>
      </c>
      <c r="I86" s="12" t="s">
        <v>17</v>
      </c>
    </row>
    <row r="87" spans="1:9">
      <c r="A87" s="19" t="s">
        <v>108</v>
      </c>
      <c r="B87" s="49">
        <v>41</v>
      </c>
      <c r="C87" s="17" t="str">
        <f>LOOKUP(B87,{0;18;25;35;45;55;65;75;90},{"&lt;18";"18–24";"25–34";"35–44";"45–54";"55–64";"65–74";"75–89";"&gt;89"})</f>
        <v>35–44</v>
      </c>
      <c r="D87" s="19" t="s">
        <v>19</v>
      </c>
      <c r="E87" s="47">
        <v>11.100371913322491</v>
      </c>
      <c r="F87" s="49">
        <v>10</v>
      </c>
      <c r="G87" s="12" t="s">
        <v>16</v>
      </c>
      <c r="H87" s="12" t="s">
        <v>12</v>
      </c>
      <c r="I87" s="12" t="s">
        <v>17</v>
      </c>
    </row>
    <row r="88" spans="1:9">
      <c r="A88" s="19" t="s">
        <v>109</v>
      </c>
      <c r="B88" s="49">
        <v>30</v>
      </c>
      <c r="C88" s="17" t="str">
        <f>LOOKUP(B88,{0;18;25;35;45;55;65;75;90},{"&lt;18";"18–24";"25–34";"35–44";"45–54";"55–64";"65–74";"75–89";"&gt;89"})</f>
        <v>25–34</v>
      </c>
      <c r="D88" s="19" t="s">
        <v>15</v>
      </c>
      <c r="E88" s="47">
        <v>25.80523628368918</v>
      </c>
      <c r="F88" s="49">
        <v>3</v>
      </c>
      <c r="G88" s="12" t="s">
        <v>16</v>
      </c>
      <c r="H88" s="12" t="s">
        <v>20</v>
      </c>
      <c r="I88" s="12" t="s">
        <v>17</v>
      </c>
    </row>
    <row r="89" spans="1:9">
      <c r="A89" s="19" t="s">
        <v>110</v>
      </c>
      <c r="B89" s="49">
        <v>36</v>
      </c>
      <c r="C89" s="17" t="str">
        <f>LOOKUP(B89,{0;18;25;35;45;55;65;75;90},{"&lt;18";"18–24";"25–34";"35–44";"45–54";"55–64";"65–74";"75–89";"&gt;89"})</f>
        <v>35–44</v>
      </c>
      <c r="D89" s="19" t="s">
        <v>19</v>
      </c>
      <c r="E89" s="47">
        <v>25.428445311181029</v>
      </c>
      <c r="F89" s="49">
        <v>5</v>
      </c>
      <c r="G89" s="12" t="s">
        <v>16</v>
      </c>
      <c r="H89" s="12" t="s">
        <v>12</v>
      </c>
      <c r="I89" s="12" t="s">
        <v>17</v>
      </c>
    </row>
    <row r="90" spans="1:9">
      <c r="A90" s="19" t="s">
        <v>111</v>
      </c>
      <c r="B90" s="49">
        <v>33</v>
      </c>
      <c r="C90" s="17" t="str">
        <f>LOOKUP(B90,{0;18;25;35;45;55;65;75;90},{"&lt;18";"18–24";"25–34";"35–44";"45–54";"55–64";"65–74";"75–89";"&gt;89"})</f>
        <v>25–34</v>
      </c>
      <c r="D90" s="19" t="s">
        <v>15</v>
      </c>
      <c r="E90" s="47">
        <v>20.903042954313879</v>
      </c>
      <c r="F90" s="49">
        <v>5</v>
      </c>
      <c r="G90" s="12" t="s">
        <v>11</v>
      </c>
      <c r="H90" s="12" t="s">
        <v>20</v>
      </c>
      <c r="I90" s="12" t="s">
        <v>80</v>
      </c>
    </row>
    <row r="91" spans="1:9">
      <c r="A91" s="19" t="s">
        <v>112</v>
      </c>
      <c r="B91" s="49">
        <v>47</v>
      </c>
      <c r="C91" s="17" t="str">
        <f>LOOKUP(B91,{0;18;25;35;45;55;65;75;90},{"&lt;18";"18–24";"25–34";"35–44";"45–54";"55–64";"65–74";"75–89";"&gt;89"})</f>
        <v>45–54</v>
      </c>
      <c r="D91" s="19" t="s">
        <v>15</v>
      </c>
      <c r="E91" s="47">
        <v>14.73595111580161</v>
      </c>
      <c r="F91" s="49">
        <v>8</v>
      </c>
      <c r="G91" s="12" t="s">
        <v>11</v>
      </c>
      <c r="H91" s="12" t="s">
        <v>12</v>
      </c>
      <c r="I91" s="12" t="s">
        <v>113</v>
      </c>
    </row>
    <row r="92" spans="1:9">
      <c r="A92" s="19" t="s">
        <v>114</v>
      </c>
      <c r="B92" s="49">
        <v>20</v>
      </c>
      <c r="C92" s="17" t="str">
        <f>LOOKUP(B92,{0;18;25;35;45;55;65;75;90},{"&lt;18";"18–24";"25–34";"35–44";"45–54";"55–64";"65–74";"75–89";"&gt;89"})</f>
        <v>18–24</v>
      </c>
      <c r="D92" s="19" t="s">
        <v>19</v>
      </c>
      <c r="E92" s="47">
        <v>38.350930824995878</v>
      </c>
      <c r="F92" s="49">
        <v>7</v>
      </c>
      <c r="G92" s="12" t="s">
        <v>16</v>
      </c>
      <c r="H92" s="12" t="s">
        <v>20</v>
      </c>
      <c r="I92" s="12" t="s">
        <v>80</v>
      </c>
    </row>
    <row r="93" spans="1:9">
      <c r="A93" s="19" t="s">
        <v>115</v>
      </c>
      <c r="B93" s="49">
        <v>21</v>
      </c>
      <c r="C93" s="17" t="str">
        <f>LOOKUP(B93,{0;18;25;35;45;55;65;75;90},{"&lt;18";"18–24";"25–34";"35–44";"45–54";"55–64";"65–74";"75–89";"&gt;89"})</f>
        <v>18–24</v>
      </c>
      <c r="D93" s="19" t="s">
        <v>10</v>
      </c>
      <c r="E93" s="47">
        <v>25.750474020386829</v>
      </c>
      <c r="F93" s="49">
        <v>7</v>
      </c>
      <c r="G93" s="12" t="s">
        <v>16</v>
      </c>
      <c r="H93" s="12" t="s">
        <v>12</v>
      </c>
      <c r="I93" s="12" t="s">
        <v>17</v>
      </c>
    </row>
    <row r="94" spans="1:9">
      <c r="A94" s="19" t="s">
        <v>116</v>
      </c>
      <c r="B94" s="49">
        <v>22</v>
      </c>
      <c r="C94" s="17" t="str">
        <f>LOOKUP(B94,{0;18;25;35;45;55;65;75;90},{"&lt;18";"18–24";"25–34";"35–44";"45–54";"55–64";"65–74";"75–89";"&gt;89"})</f>
        <v>18–24</v>
      </c>
      <c r="D94" s="19" t="s">
        <v>10</v>
      </c>
      <c r="E94" s="47">
        <v>40.187027704773953</v>
      </c>
      <c r="F94" s="49">
        <v>10</v>
      </c>
      <c r="G94" s="12" t="s">
        <v>16</v>
      </c>
      <c r="H94" s="12" t="s">
        <v>20</v>
      </c>
      <c r="I94" s="12" t="s">
        <v>49</v>
      </c>
    </row>
    <row r="95" spans="1:9">
      <c r="A95" s="19" t="s">
        <v>117</v>
      </c>
      <c r="B95" s="49">
        <v>22</v>
      </c>
      <c r="C95" s="17" t="str">
        <f>LOOKUP(B95,{0;18;25;35;45;55;65;75;90},{"&lt;18";"18–24";"25–34";"35–44";"45–54";"55–64";"65–74";"75–89";"&gt;89"})</f>
        <v>18–24</v>
      </c>
      <c r="D95" s="19" t="s">
        <v>10</v>
      </c>
      <c r="E95" s="47">
        <v>39.434602550337061</v>
      </c>
      <c r="F95" s="49">
        <v>5</v>
      </c>
      <c r="G95" s="12" t="s">
        <v>11</v>
      </c>
      <c r="H95" s="12" t="s">
        <v>12</v>
      </c>
      <c r="I95" s="12" t="s">
        <v>55</v>
      </c>
    </row>
    <row r="96" spans="1:9">
      <c r="A96" s="19" t="s">
        <v>118</v>
      </c>
      <c r="B96" s="49">
        <v>26</v>
      </c>
      <c r="C96" s="17" t="str">
        <f>LOOKUP(B96,{0;18;25;35;45;55;65;75;90},{"&lt;18";"18–24";"25–34";"35–44";"45–54";"55–64";"65–74";"75–89";"&gt;89"})</f>
        <v>25–34</v>
      </c>
      <c r="D96" s="19" t="s">
        <v>15</v>
      </c>
      <c r="E96" s="47">
        <v>30.820598703448649</v>
      </c>
      <c r="F96" s="49">
        <v>8</v>
      </c>
      <c r="G96" s="12" t="s">
        <v>16</v>
      </c>
      <c r="H96" s="12" t="s">
        <v>12</v>
      </c>
      <c r="I96" s="12" t="s">
        <v>49</v>
      </c>
    </row>
    <row r="97" spans="1:9">
      <c r="A97" s="19" t="s">
        <v>119</v>
      </c>
      <c r="B97" s="49">
        <v>32</v>
      </c>
      <c r="C97" s="17" t="str">
        <f>LOOKUP(B97,{0;18;25;35;45;55;65;75;90},{"&lt;18";"18–24";"25–34";"35–44";"45–54";"55–64";"65–74";"75–89";"&gt;89"})</f>
        <v>25–34</v>
      </c>
      <c r="D97" s="19" t="s">
        <v>15</v>
      </c>
      <c r="E97" s="47">
        <v>41.323848495686597</v>
      </c>
      <c r="F97" s="49">
        <v>9</v>
      </c>
      <c r="G97" s="12" t="s">
        <v>16</v>
      </c>
      <c r="H97" s="12" t="s">
        <v>12</v>
      </c>
      <c r="I97" s="12" t="s">
        <v>17</v>
      </c>
    </row>
    <row r="98" spans="1:9">
      <c r="A98" s="19" t="s">
        <v>82</v>
      </c>
      <c r="B98" s="49">
        <v>32</v>
      </c>
      <c r="C98" s="17" t="str">
        <f>LOOKUP(B98,{0;18;25;35;45;55;65;75;90},{"&lt;18";"18–24";"25–34";"35–44";"45–54";"55–64";"65–74";"75–89";"&gt;89"})</f>
        <v>25–34</v>
      </c>
      <c r="D98" s="19" t="s">
        <v>10</v>
      </c>
      <c r="E98" s="47">
        <v>14.63313044429953</v>
      </c>
      <c r="F98" s="49">
        <v>2</v>
      </c>
      <c r="G98" s="12" t="s">
        <v>16</v>
      </c>
      <c r="H98" s="12" t="s">
        <v>12</v>
      </c>
      <c r="I98" s="12" t="s">
        <v>13</v>
      </c>
    </row>
    <row r="99" spans="1:9">
      <c r="A99" s="19" t="s">
        <v>120</v>
      </c>
      <c r="B99" s="49">
        <v>34</v>
      </c>
      <c r="C99" s="17" t="str">
        <f>LOOKUP(B99,{0;18;25;35;45;55;65;75;90},{"&lt;18";"18–24";"25–34";"35–44";"45–54";"55–64";"65–74";"75–89";"&gt;89"})</f>
        <v>25–34</v>
      </c>
      <c r="D99" s="19" t="s">
        <v>19</v>
      </c>
      <c r="E99" s="47">
        <v>15.19331586813359</v>
      </c>
      <c r="F99" s="49">
        <v>1</v>
      </c>
      <c r="G99" s="12" t="s">
        <v>16</v>
      </c>
      <c r="H99" s="12" t="s">
        <v>12</v>
      </c>
      <c r="I99" s="12" t="s">
        <v>13</v>
      </c>
    </row>
    <row r="100" spans="1:9">
      <c r="A100" s="19" t="s">
        <v>121</v>
      </c>
      <c r="B100" s="49">
        <v>19</v>
      </c>
      <c r="C100" s="17" t="str">
        <f>LOOKUP(B100,{0;18;25;35;45;55;65;75;90},{"&lt;18";"18–24";"25–34";"35–44";"45–54";"55–64";"65–74";"75–89";"&gt;89"})</f>
        <v>18–24</v>
      </c>
      <c r="D100" s="19" t="s">
        <v>15</v>
      </c>
      <c r="E100" s="47">
        <v>28.538811501097971</v>
      </c>
      <c r="F100" s="49">
        <v>9</v>
      </c>
      <c r="G100" s="12" t="s">
        <v>11</v>
      </c>
      <c r="H100" s="12" t="s">
        <v>20</v>
      </c>
      <c r="I100" s="12" t="s">
        <v>80</v>
      </c>
    </row>
    <row r="101" spans="1:9">
      <c r="A101" s="19" t="s">
        <v>122</v>
      </c>
      <c r="B101" s="49">
        <v>60</v>
      </c>
      <c r="C101" s="17" t="str">
        <f>LOOKUP(B101,{0;18;25;35;45;55;65;75;90},{"&lt;18";"18–24";"25–34";"35–44";"45–54";"55–64";"65–74";"75–89";"&gt;89"})</f>
        <v>55–64</v>
      </c>
      <c r="D101" s="19" t="s">
        <v>19</v>
      </c>
      <c r="E101" s="47">
        <v>26.42768737714594</v>
      </c>
      <c r="F101" s="49">
        <v>8</v>
      </c>
      <c r="G101" s="12" t="s">
        <v>16</v>
      </c>
      <c r="H101" s="12" t="s">
        <v>20</v>
      </c>
      <c r="I101" s="12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C2" sqref="C2"/>
    </sheetView>
  </sheetViews>
  <sheetFormatPr defaultRowHeight="12.75"/>
  <cols>
    <col min="3" max="3" width="14.28515625" customWidth="1"/>
    <col min="5" max="5" width="32.140625" customWidth="1"/>
    <col min="6" max="6" width="23.5703125" customWidth="1"/>
    <col min="7" max="7" width="9.28515625" customWidth="1"/>
    <col min="8" max="8" width="16.5703125" customWidth="1"/>
    <col min="9" max="9" width="9.5703125" customWidth="1"/>
  </cols>
  <sheetData>
    <row r="1" spans="1:9">
      <c r="A1" t="s">
        <v>1</v>
      </c>
      <c r="B1" t="s">
        <v>2</v>
      </c>
      <c r="C1" t="s">
        <v>154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38</v>
      </c>
      <c r="C2" t="s">
        <v>140</v>
      </c>
      <c r="D2" t="s">
        <v>10</v>
      </c>
      <c r="E2">
        <v>32.885549344620301</v>
      </c>
      <c r="F2">
        <v>9</v>
      </c>
      <c r="G2" t="s">
        <v>11</v>
      </c>
      <c r="H2" t="s">
        <v>12</v>
      </c>
      <c r="I2" t="s">
        <v>13</v>
      </c>
    </row>
    <row r="3" spans="1:9">
      <c r="A3" t="s">
        <v>82</v>
      </c>
      <c r="B3">
        <v>32</v>
      </c>
      <c r="C3" t="s">
        <v>137</v>
      </c>
      <c r="D3" t="s">
        <v>10</v>
      </c>
      <c r="E3">
        <v>14.63313044429953</v>
      </c>
      <c r="F3">
        <v>2</v>
      </c>
      <c r="G3" t="s">
        <v>16</v>
      </c>
      <c r="H3" t="s">
        <v>12</v>
      </c>
      <c r="I3" t="s">
        <v>13</v>
      </c>
    </row>
    <row r="4" spans="1:9">
      <c r="A4" t="s">
        <v>117</v>
      </c>
      <c r="B4">
        <v>22</v>
      </c>
      <c r="C4" t="s">
        <v>136</v>
      </c>
      <c r="D4" t="s">
        <v>10</v>
      </c>
      <c r="E4">
        <v>39.434602550337061</v>
      </c>
      <c r="F4">
        <v>5</v>
      </c>
      <c r="G4" t="s">
        <v>11</v>
      </c>
      <c r="H4" t="s">
        <v>12</v>
      </c>
      <c r="I4" t="s">
        <v>55</v>
      </c>
    </row>
    <row r="5" spans="1:9">
      <c r="A5" t="s">
        <v>116</v>
      </c>
      <c r="B5">
        <v>22</v>
      </c>
      <c r="C5" t="s">
        <v>136</v>
      </c>
      <c r="D5" t="s">
        <v>10</v>
      </c>
      <c r="E5">
        <v>40.187027704773953</v>
      </c>
      <c r="F5">
        <v>10</v>
      </c>
      <c r="G5" t="s">
        <v>16</v>
      </c>
      <c r="H5" t="s">
        <v>20</v>
      </c>
      <c r="I5" t="s">
        <v>49</v>
      </c>
    </row>
    <row r="6" spans="1:9">
      <c r="A6" t="s">
        <v>22</v>
      </c>
      <c r="B6">
        <v>34</v>
      </c>
      <c r="C6" t="s">
        <v>137</v>
      </c>
      <c r="D6" t="s">
        <v>10</v>
      </c>
      <c r="E6">
        <v>19.85211490119007</v>
      </c>
      <c r="F6">
        <v>10</v>
      </c>
      <c r="G6" t="s">
        <v>16</v>
      </c>
      <c r="H6" t="s">
        <v>12</v>
      </c>
      <c r="I6" t="s">
        <v>17</v>
      </c>
    </row>
    <row r="7" spans="1:9">
      <c r="A7" t="s">
        <v>115</v>
      </c>
      <c r="B7">
        <v>21</v>
      </c>
      <c r="C7" t="s">
        <v>136</v>
      </c>
      <c r="D7" t="s">
        <v>10</v>
      </c>
      <c r="E7">
        <v>25.750474020386829</v>
      </c>
      <c r="F7">
        <v>7</v>
      </c>
      <c r="G7" t="s">
        <v>16</v>
      </c>
      <c r="H7" t="s">
        <v>12</v>
      </c>
      <c r="I7" t="s">
        <v>17</v>
      </c>
    </row>
    <row r="8" spans="1:9">
      <c r="A8" t="s">
        <v>105</v>
      </c>
      <c r="B8">
        <v>22</v>
      </c>
      <c r="C8" t="s">
        <v>136</v>
      </c>
      <c r="D8" t="s">
        <v>10</v>
      </c>
      <c r="E8">
        <v>13.105498217535439</v>
      </c>
      <c r="F8">
        <v>5</v>
      </c>
      <c r="G8" t="s">
        <v>16</v>
      </c>
      <c r="H8" t="s">
        <v>12</v>
      </c>
      <c r="I8" t="s">
        <v>29</v>
      </c>
    </row>
    <row r="9" spans="1:9">
      <c r="A9" t="s">
        <v>100</v>
      </c>
      <c r="B9">
        <v>24</v>
      </c>
      <c r="C9" t="s">
        <v>136</v>
      </c>
      <c r="D9" t="s">
        <v>10</v>
      </c>
      <c r="E9">
        <v>29.964764164907351</v>
      </c>
      <c r="F9">
        <v>2</v>
      </c>
      <c r="G9" t="s">
        <v>16</v>
      </c>
      <c r="H9" t="s">
        <v>12</v>
      </c>
      <c r="I9" t="s">
        <v>17</v>
      </c>
    </row>
    <row r="10" spans="1:9">
      <c r="A10" t="s">
        <v>87</v>
      </c>
      <c r="B10">
        <v>45</v>
      </c>
      <c r="C10" t="s">
        <v>141</v>
      </c>
      <c r="D10" t="s">
        <v>10</v>
      </c>
      <c r="E10">
        <v>34.38353483439721</v>
      </c>
      <c r="F10">
        <v>1</v>
      </c>
      <c r="G10" t="s">
        <v>16</v>
      </c>
      <c r="H10" t="s">
        <v>12</v>
      </c>
      <c r="I10" t="s">
        <v>17</v>
      </c>
    </row>
    <row r="11" spans="1:9">
      <c r="A11" t="s">
        <v>83</v>
      </c>
      <c r="B11">
        <v>33</v>
      </c>
      <c r="C11" t="s">
        <v>137</v>
      </c>
      <c r="D11" t="s">
        <v>10</v>
      </c>
      <c r="E11">
        <v>30.312939079910571</v>
      </c>
      <c r="F11">
        <v>5</v>
      </c>
      <c r="G11" t="s">
        <v>16</v>
      </c>
      <c r="H11" t="s">
        <v>20</v>
      </c>
      <c r="I11" t="s">
        <v>29</v>
      </c>
    </row>
    <row r="12" spans="1:9">
      <c r="A12" t="s">
        <v>28</v>
      </c>
      <c r="B12">
        <v>19</v>
      </c>
      <c r="C12" t="s">
        <v>136</v>
      </c>
      <c r="D12" t="s">
        <v>10</v>
      </c>
      <c r="E12">
        <v>38.378935235319062</v>
      </c>
      <c r="F12">
        <v>7</v>
      </c>
      <c r="G12" t="s">
        <v>16</v>
      </c>
      <c r="H12" t="s">
        <v>20</v>
      </c>
      <c r="I12" t="s">
        <v>29</v>
      </c>
    </row>
    <row r="13" spans="1:9">
      <c r="A13" t="s">
        <v>76</v>
      </c>
      <c r="B13">
        <v>19</v>
      </c>
      <c r="C13" t="s">
        <v>136</v>
      </c>
      <c r="D13" t="s">
        <v>10</v>
      </c>
      <c r="E13">
        <v>10.492881669734491</v>
      </c>
      <c r="F13">
        <v>6</v>
      </c>
      <c r="G13" t="s">
        <v>16</v>
      </c>
      <c r="H13" t="s">
        <v>12</v>
      </c>
      <c r="I13" t="s">
        <v>29</v>
      </c>
    </row>
    <row r="14" spans="1:9">
      <c r="A14" t="s">
        <v>31</v>
      </c>
      <c r="B14">
        <v>26</v>
      </c>
      <c r="C14" t="s">
        <v>137</v>
      </c>
      <c r="D14" t="s">
        <v>10</v>
      </c>
      <c r="E14">
        <v>21.076427606877719</v>
      </c>
      <c r="F14">
        <v>6</v>
      </c>
      <c r="G14" t="s">
        <v>16</v>
      </c>
      <c r="H14" t="s">
        <v>20</v>
      </c>
      <c r="I14" t="s">
        <v>17</v>
      </c>
    </row>
    <row r="15" spans="1:9">
      <c r="A15" t="s">
        <v>32</v>
      </c>
      <c r="B15">
        <v>32</v>
      </c>
      <c r="C15" t="s">
        <v>137</v>
      </c>
      <c r="D15" t="s">
        <v>10</v>
      </c>
      <c r="E15">
        <v>6.8517822859816002</v>
      </c>
      <c r="F15">
        <v>5</v>
      </c>
      <c r="G15" t="s">
        <v>16</v>
      </c>
      <c r="H15" t="s">
        <v>12</v>
      </c>
      <c r="I15" t="s">
        <v>17</v>
      </c>
    </row>
    <row r="16" spans="1:9">
      <c r="A16" t="s">
        <v>75</v>
      </c>
      <c r="B16">
        <v>42</v>
      </c>
      <c r="C16" t="s">
        <v>140</v>
      </c>
      <c r="D16" t="s">
        <v>10</v>
      </c>
      <c r="E16">
        <v>8.5020765695894998</v>
      </c>
      <c r="F16">
        <v>8</v>
      </c>
      <c r="G16" t="s">
        <v>16</v>
      </c>
      <c r="H16" t="s">
        <v>12</v>
      </c>
      <c r="I16" t="s">
        <v>49</v>
      </c>
    </row>
    <row r="17" spans="1:9">
      <c r="A17" t="s">
        <v>74</v>
      </c>
      <c r="B17">
        <v>24</v>
      </c>
      <c r="C17" t="s">
        <v>136</v>
      </c>
      <c r="D17" t="s">
        <v>10</v>
      </c>
      <c r="E17">
        <v>18.391804242589831</v>
      </c>
      <c r="F17">
        <v>6</v>
      </c>
      <c r="G17" t="s">
        <v>16</v>
      </c>
      <c r="H17" t="s">
        <v>20</v>
      </c>
      <c r="I17" t="s">
        <v>49</v>
      </c>
    </row>
    <row r="18" spans="1:9">
      <c r="A18" t="s">
        <v>67</v>
      </c>
      <c r="B18">
        <v>22</v>
      </c>
      <c r="C18" t="s">
        <v>136</v>
      </c>
      <c r="D18" t="s">
        <v>10</v>
      </c>
      <c r="E18">
        <v>31.3473370097045</v>
      </c>
      <c r="F18">
        <v>4</v>
      </c>
      <c r="G18" t="s">
        <v>16</v>
      </c>
      <c r="H18" t="s">
        <v>12</v>
      </c>
      <c r="I18" t="s">
        <v>17</v>
      </c>
    </row>
    <row r="19" spans="1:9">
      <c r="A19" t="s">
        <v>66</v>
      </c>
      <c r="B19">
        <v>25</v>
      </c>
      <c r="C19" t="s">
        <v>137</v>
      </c>
      <c r="D19" t="s">
        <v>10</v>
      </c>
      <c r="E19">
        <v>23.2130636370932</v>
      </c>
      <c r="F19">
        <v>6</v>
      </c>
      <c r="G19" t="s">
        <v>11</v>
      </c>
      <c r="H19" t="s">
        <v>12</v>
      </c>
      <c r="I19" t="s">
        <v>17</v>
      </c>
    </row>
    <row r="20" spans="1:9">
      <c r="A20" t="s">
        <v>37</v>
      </c>
      <c r="B20">
        <v>22</v>
      </c>
      <c r="C20" t="s">
        <v>136</v>
      </c>
      <c r="D20" t="s">
        <v>10</v>
      </c>
      <c r="E20">
        <v>22.803831593459929</v>
      </c>
      <c r="F20">
        <v>1</v>
      </c>
      <c r="G20" t="s">
        <v>16</v>
      </c>
      <c r="H20" t="s">
        <v>12</v>
      </c>
      <c r="I20" t="s">
        <v>13</v>
      </c>
    </row>
    <row r="21" spans="1:9">
      <c r="A21" t="s">
        <v>61</v>
      </c>
      <c r="B21">
        <v>31</v>
      </c>
      <c r="C21" t="s">
        <v>137</v>
      </c>
      <c r="D21" t="s">
        <v>10</v>
      </c>
      <c r="E21">
        <v>19.31379388111689</v>
      </c>
      <c r="F21">
        <v>4</v>
      </c>
      <c r="G21" t="s">
        <v>16</v>
      </c>
      <c r="H21" t="s">
        <v>12</v>
      </c>
      <c r="I21" t="s">
        <v>29</v>
      </c>
    </row>
    <row r="22" spans="1:9">
      <c r="A22" t="s">
        <v>39</v>
      </c>
      <c r="B22">
        <v>18</v>
      </c>
      <c r="C22" t="s">
        <v>136</v>
      </c>
      <c r="D22" t="s">
        <v>10</v>
      </c>
      <c r="E22">
        <v>19.48114187573151</v>
      </c>
      <c r="F22">
        <v>7</v>
      </c>
      <c r="G22" t="s">
        <v>16</v>
      </c>
      <c r="H22" t="s">
        <v>12</v>
      </c>
      <c r="I22" t="s">
        <v>17</v>
      </c>
    </row>
    <row r="23" spans="1:9">
      <c r="A23" t="s">
        <v>59</v>
      </c>
      <c r="B23">
        <v>38</v>
      </c>
      <c r="C23" t="s">
        <v>140</v>
      </c>
      <c r="D23" t="s">
        <v>10</v>
      </c>
      <c r="E23">
        <v>19.862430802250721</v>
      </c>
      <c r="F23">
        <v>4</v>
      </c>
      <c r="G23" t="s">
        <v>16</v>
      </c>
      <c r="H23" t="s">
        <v>20</v>
      </c>
      <c r="I23" t="s">
        <v>17</v>
      </c>
    </row>
    <row r="24" spans="1:9">
      <c r="A24" t="s">
        <v>52</v>
      </c>
      <c r="B24">
        <v>56</v>
      </c>
      <c r="C24" t="s">
        <v>142</v>
      </c>
      <c r="D24" t="s">
        <v>10</v>
      </c>
      <c r="E24">
        <v>24.025856595678089</v>
      </c>
      <c r="F24">
        <v>9</v>
      </c>
      <c r="G24" t="s">
        <v>16</v>
      </c>
      <c r="H24" t="s">
        <v>12</v>
      </c>
      <c r="I24" t="s">
        <v>29</v>
      </c>
    </row>
    <row r="25" spans="1:9">
      <c r="A25" t="s">
        <v>50</v>
      </c>
      <c r="B25">
        <v>32</v>
      </c>
      <c r="C25" t="s">
        <v>137</v>
      </c>
      <c r="D25" t="s">
        <v>10</v>
      </c>
      <c r="E25">
        <v>19.734761867508698</v>
      </c>
      <c r="F25">
        <v>3</v>
      </c>
      <c r="G25" t="s">
        <v>16</v>
      </c>
      <c r="H25" t="s">
        <v>12</v>
      </c>
      <c r="I25" t="s">
        <v>29</v>
      </c>
    </row>
    <row r="26" spans="1:9">
      <c r="A26" t="s">
        <v>47</v>
      </c>
      <c r="B26">
        <v>25</v>
      </c>
      <c r="C26" t="s">
        <v>137</v>
      </c>
      <c r="D26" t="s">
        <v>10</v>
      </c>
      <c r="E26">
        <v>18.55408902598862</v>
      </c>
      <c r="F26">
        <v>5</v>
      </c>
      <c r="G26" t="s">
        <v>16</v>
      </c>
      <c r="H26" t="s">
        <v>12</v>
      </c>
      <c r="I26" t="s">
        <v>17</v>
      </c>
    </row>
    <row r="27" spans="1:9">
      <c r="A27" t="s">
        <v>46</v>
      </c>
      <c r="B27">
        <v>89</v>
      </c>
      <c r="C27" t="s">
        <v>143</v>
      </c>
      <c r="D27" t="s">
        <v>10</v>
      </c>
      <c r="E27">
        <v>17.79898571467616</v>
      </c>
      <c r="F27">
        <v>1</v>
      </c>
      <c r="G27" t="s">
        <v>16</v>
      </c>
      <c r="H27" t="s">
        <v>12</v>
      </c>
      <c r="I27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3"/>
  <sheetViews>
    <sheetView tabSelected="1" workbookViewId="0">
      <selection activeCell="G28" sqref="G28"/>
    </sheetView>
  </sheetViews>
  <sheetFormatPr defaultRowHeight="12.75"/>
  <cols>
    <col min="1" max="1" width="11.7109375" customWidth="1"/>
    <col min="2" max="2" width="14.140625" customWidth="1"/>
    <col min="3" max="3" width="32.5703125" customWidth="1"/>
    <col min="4" max="4" width="41.42578125" customWidth="1"/>
    <col min="5" max="5" width="40.28515625" bestFit="1" customWidth="1"/>
    <col min="6" max="6" width="21.85546875" customWidth="1"/>
    <col min="7" max="7" width="41.42578125" customWidth="1"/>
    <col min="8" max="8" width="15.85546875" customWidth="1"/>
    <col min="9" max="9" width="32.5703125" customWidth="1"/>
    <col min="10" max="10" width="32.42578125" customWidth="1"/>
    <col min="11" max="11" width="40.5703125" customWidth="1"/>
    <col min="12" max="12" width="32.42578125" customWidth="1"/>
    <col min="13" max="13" width="42.5703125" customWidth="1"/>
    <col min="14" max="14" width="34.42578125" customWidth="1"/>
    <col min="15" max="15" width="40.28515625" bestFit="1" customWidth="1"/>
  </cols>
  <sheetData>
    <row r="3" spans="1:15">
      <c r="A3" s="19"/>
      <c r="B3" s="55" t="s">
        <v>150</v>
      </c>
      <c r="C3" s="19"/>
      <c r="D3" s="19"/>
      <c r="E3" s="19"/>
      <c r="F3" s="19"/>
      <c r="G3" s="55" t="s">
        <v>150</v>
      </c>
      <c r="H3" s="19"/>
      <c r="I3" s="19"/>
      <c r="J3" s="19"/>
      <c r="K3" s="19"/>
      <c r="L3" s="19"/>
      <c r="M3" s="19"/>
      <c r="N3" s="19"/>
      <c r="O3" s="19"/>
    </row>
    <row r="4" spans="1:15">
      <c r="A4" s="57" t="s">
        <v>123</v>
      </c>
      <c r="B4" s="58" t="s">
        <v>124</v>
      </c>
      <c r="C4" s="58" t="s">
        <v>125</v>
      </c>
      <c r="D4" s="19"/>
      <c r="E4" s="19"/>
      <c r="F4" s="57" t="s">
        <v>126</v>
      </c>
      <c r="G4" s="58" t="s">
        <v>124</v>
      </c>
      <c r="H4" s="59" t="s">
        <v>127</v>
      </c>
      <c r="I4" s="58" t="s">
        <v>125</v>
      </c>
      <c r="J4" s="19"/>
      <c r="K4" s="19"/>
      <c r="L4" s="19"/>
      <c r="M4" s="19"/>
      <c r="N4" s="19"/>
      <c r="O4" s="19"/>
    </row>
    <row r="5" spans="1:15" ht="13.5" thickBot="1">
      <c r="A5" s="13" t="s">
        <v>15</v>
      </c>
      <c r="B5" s="24">
        <v>25.220054971435566</v>
      </c>
      <c r="C5" s="25">
        <v>7.0652173913043477</v>
      </c>
      <c r="D5" s="19"/>
      <c r="E5" s="19"/>
      <c r="F5" s="13" t="s">
        <v>152</v>
      </c>
      <c r="G5" s="24">
        <v>23.882058032761982</v>
      </c>
      <c r="H5" s="23">
        <v>0.56000000000000005</v>
      </c>
      <c r="I5" s="25">
        <v>6.0357142857142856</v>
      </c>
      <c r="J5" s="19"/>
      <c r="K5" s="19"/>
      <c r="L5" s="19"/>
      <c r="M5" s="19"/>
      <c r="N5" s="19"/>
      <c r="O5" s="19"/>
    </row>
    <row r="6" spans="1:15" ht="13.5" customHeight="1" thickBot="1">
      <c r="A6" s="13" t="s">
        <v>19</v>
      </c>
      <c r="B6" s="24">
        <v>31.573757655612493</v>
      </c>
      <c r="C6" s="25">
        <v>5.4642857142857144</v>
      </c>
      <c r="D6" s="19"/>
      <c r="E6" s="19"/>
      <c r="F6" s="13" t="s">
        <v>153</v>
      </c>
      <c r="G6" s="24">
        <v>29.707530183731226</v>
      </c>
      <c r="H6" s="23">
        <v>0.44</v>
      </c>
      <c r="I6" s="25">
        <v>6.3181818181818183</v>
      </c>
      <c r="J6" s="19"/>
      <c r="K6" s="19"/>
      <c r="L6" s="19"/>
      <c r="M6" s="19"/>
      <c r="N6" s="19"/>
      <c r="O6" s="19"/>
    </row>
    <row r="7" spans="1:15" ht="13.5" customHeight="1" thickBot="1">
      <c r="A7" s="13" t="s">
        <v>10</v>
      </c>
      <c r="B7" s="24">
        <v>23.089955187525348</v>
      </c>
      <c r="C7" s="25">
        <v>5.3076923076923075</v>
      </c>
      <c r="D7" s="19"/>
      <c r="E7" s="19"/>
      <c r="F7" s="19" t="s">
        <v>128</v>
      </c>
      <c r="G7" s="26">
        <v>26.445265779188453</v>
      </c>
      <c r="H7" s="50">
        <v>1</v>
      </c>
      <c r="I7" s="27">
        <v>6.16</v>
      </c>
      <c r="J7" s="19"/>
      <c r="K7" s="19"/>
      <c r="L7" s="19"/>
      <c r="M7" s="19"/>
      <c r="N7" s="19"/>
      <c r="O7" s="19"/>
    </row>
    <row r="8" spans="1:15" ht="13.5" thickBot="1">
      <c r="A8" s="18" t="s">
        <v>128</v>
      </c>
      <c r="B8" s="28">
        <v>26.445265779188439</v>
      </c>
      <c r="C8" s="29">
        <v>6.16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>
      <c r="A10" s="19"/>
      <c r="B10" s="55" t="s">
        <v>150</v>
      </c>
      <c r="C10" s="19"/>
      <c r="D10" s="19"/>
      <c r="E10" s="19"/>
      <c r="F10" s="19"/>
      <c r="G10" s="62" t="s">
        <v>123</v>
      </c>
      <c r="H10" s="19"/>
      <c r="I10" s="19"/>
      <c r="J10" s="19"/>
      <c r="K10" s="19"/>
      <c r="L10" s="19"/>
      <c r="M10" s="19"/>
      <c r="N10" s="19"/>
      <c r="O10" s="19"/>
    </row>
    <row r="11" spans="1:15" ht="23.25">
      <c r="A11" s="57" t="s">
        <v>129</v>
      </c>
      <c r="B11" s="58" t="s">
        <v>151</v>
      </c>
      <c r="C11" s="58" t="s">
        <v>130</v>
      </c>
      <c r="D11" s="58" t="s">
        <v>131</v>
      </c>
      <c r="E11" s="19"/>
      <c r="F11" s="19"/>
      <c r="G11" s="30" t="s">
        <v>19</v>
      </c>
      <c r="H11" s="30"/>
      <c r="I11" s="31" t="s">
        <v>10</v>
      </c>
      <c r="J11" s="31"/>
      <c r="K11" s="32" t="s">
        <v>15</v>
      </c>
      <c r="L11" s="32"/>
      <c r="M11" s="13" t="s">
        <v>132</v>
      </c>
      <c r="N11" s="13" t="s">
        <v>133</v>
      </c>
      <c r="O11" s="19"/>
    </row>
    <row r="12" spans="1:15" ht="15">
      <c r="A12" s="13" t="s">
        <v>16</v>
      </c>
      <c r="B12" s="23">
        <v>0.85</v>
      </c>
      <c r="C12" s="25">
        <v>6.0352941176470587</v>
      </c>
      <c r="D12" s="24">
        <v>26.301819650308556</v>
      </c>
      <c r="E12" s="19"/>
      <c r="F12" s="55" t="s">
        <v>134</v>
      </c>
      <c r="G12" s="33" t="s">
        <v>124</v>
      </c>
      <c r="H12" s="33" t="s">
        <v>125</v>
      </c>
      <c r="I12" s="34" t="s">
        <v>124</v>
      </c>
      <c r="J12" s="34" t="s">
        <v>125</v>
      </c>
      <c r="K12" s="35" t="s">
        <v>124</v>
      </c>
      <c r="L12" s="35" t="s">
        <v>125</v>
      </c>
      <c r="M12" s="13"/>
      <c r="N12" s="13"/>
      <c r="O12" s="19"/>
    </row>
    <row r="13" spans="1:15" ht="15.75" thickBot="1">
      <c r="A13" s="13" t="s">
        <v>11</v>
      </c>
      <c r="B13" s="23">
        <v>0.15</v>
      </c>
      <c r="C13" s="25">
        <v>6.8666666666666663</v>
      </c>
      <c r="D13" s="24">
        <v>27.258127176174547</v>
      </c>
      <c r="E13" s="19"/>
      <c r="F13" s="19" t="s">
        <v>135</v>
      </c>
      <c r="G13" s="39"/>
      <c r="H13" s="40"/>
      <c r="I13" s="41"/>
      <c r="J13" s="42"/>
      <c r="K13" s="43">
        <v>34.820164582867498</v>
      </c>
      <c r="L13" s="44">
        <v>9</v>
      </c>
      <c r="M13" s="24">
        <v>34.820164582867498</v>
      </c>
      <c r="N13" s="25">
        <v>9</v>
      </c>
      <c r="O13" s="19"/>
    </row>
    <row r="14" spans="1:15" ht="15.75" thickBot="1">
      <c r="A14" s="14" t="s">
        <v>128</v>
      </c>
      <c r="B14" s="36">
        <v>1</v>
      </c>
      <c r="C14" s="37">
        <v>6.16</v>
      </c>
      <c r="D14" s="38">
        <v>26.445265779188457</v>
      </c>
      <c r="E14" s="19"/>
      <c r="F14" s="19" t="s">
        <v>136</v>
      </c>
      <c r="G14" s="39">
        <v>40.027285611380158</v>
      </c>
      <c r="H14" s="40">
        <v>7.25</v>
      </c>
      <c r="I14" s="41">
        <v>26.303481662225451</v>
      </c>
      <c r="J14" s="42">
        <v>5.4545454545454541</v>
      </c>
      <c r="K14" s="43">
        <v>35.181740548930769</v>
      </c>
      <c r="L14" s="44">
        <v>9.6666666666666661</v>
      </c>
      <c r="M14" s="24">
        <v>30.832925687599609</v>
      </c>
      <c r="N14" s="25">
        <v>6.5555555555555554</v>
      </c>
      <c r="O14" s="19"/>
    </row>
    <row r="15" spans="1:15" ht="15">
      <c r="A15" s="19"/>
      <c r="B15" s="19"/>
      <c r="C15" s="19"/>
      <c r="D15" s="19"/>
      <c r="E15" s="19"/>
      <c r="F15" s="19" t="s">
        <v>137</v>
      </c>
      <c r="G15" s="39">
        <v>26.840487517417777</v>
      </c>
      <c r="H15" s="40">
        <v>4.5999999999999996</v>
      </c>
      <c r="I15" s="41">
        <v>19.282455858885207</v>
      </c>
      <c r="J15" s="42">
        <v>5.1111111111111107</v>
      </c>
      <c r="K15" s="43">
        <v>23.601888977770116</v>
      </c>
      <c r="L15" s="44">
        <v>6.5384615384615383</v>
      </c>
      <c r="M15" s="24">
        <v>22.761818408446931</v>
      </c>
      <c r="N15" s="25">
        <v>5.7037037037037033</v>
      </c>
      <c r="O15" s="19"/>
    </row>
    <row r="16" spans="1:15" ht="15">
      <c r="A16" s="13"/>
      <c r="B16" s="56" t="s">
        <v>150</v>
      </c>
      <c r="C16" s="13"/>
      <c r="D16" s="13"/>
      <c r="E16" s="19"/>
      <c r="F16" s="19" t="s">
        <v>140</v>
      </c>
      <c r="G16" s="39">
        <v>28.584155400287663</v>
      </c>
      <c r="H16" s="40">
        <v>6.2</v>
      </c>
      <c r="I16" s="41">
        <v>20.416685572153508</v>
      </c>
      <c r="J16" s="42">
        <v>7</v>
      </c>
      <c r="K16" s="43">
        <v>23.323452754596797</v>
      </c>
      <c r="L16" s="44">
        <v>7.2</v>
      </c>
      <c r="M16" s="24">
        <v>24.890835787081755</v>
      </c>
      <c r="N16" s="25">
        <v>6.8214285714285712</v>
      </c>
      <c r="O16" s="19"/>
    </row>
    <row r="17" spans="1:15" ht="15">
      <c r="A17" s="57" t="s">
        <v>138</v>
      </c>
      <c r="B17" s="58" t="s">
        <v>139</v>
      </c>
      <c r="C17" s="58" t="s">
        <v>125</v>
      </c>
      <c r="D17" s="58" t="s">
        <v>124</v>
      </c>
      <c r="E17" s="19"/>
      <c r="F17" s="19" t="s">
        <v>141</v>
      </c>
      <c r="G17" s="39">
        <v>33.409451623640102</v>
      </c>
      <c r="H17" s="40">
        <v>4.25</v>
      </c>
      <c r="I17" s="41">
        <v>34.38353483439721</v>
      </c>
      <c r="J17" s="42">
        <v>1</v>
      </c>
      <c r="K17" s="43">
        <v>28.260414535778928</v>
      </c>
      <c r="L17" s="44">
        <v>6.375</v>
      </c>
      <c r="M17" s="24">
        <v>30.315742893476074</v>
      </c>
      <c r="N17" s="25">
        <v>5.3076923076923075</v>
      </c>
      <c r="O17" s="19"/>
    </row>
    <row r="18" spans="1:15" ht="15">
      <c r="A18" s="13" t="s">
        <v>29</v>
      </c>
      <c r="B18" s="23">
        <v>0.12</v>
      </c>
      <c r="C18" s="25">
        <v>6.583333333333333</v>
      </c>
      <c r="D18" s="24">
        <v>27.30270906512774</v>
      </c>
      <c r="E18" s="19"/>
      <c r="F18" s="19" t="s">
        <v>142</v>
      </c>
      <c r="G18" s="39">
        <v>34.054854765420643</v>
      </c>
      <c r="H18" s="40">
        <v>4.4000000000000004</v>
      </c>
      <c r="I18" s="41">
        <v>24.025856595678089</v>
      </c>
      <c r="J18" s="42">
        <v>9</v>
      </c>
      <c r="K18" s="43">
        <v>23.448103623231315</v>
      </c>
      <c r="L18" s="44">
        <v>8</v>
      </c>
      <c r="M18" s="24">
        <v>28.321877139903446</v>
      </c>
      <c r="N18" s="25">
        <v>6.4545454545454541</v>
      </c>
      <c r="O18" s="19"/>
    </row>
    <row r="19" spans="1:15" ht="15">
      <c r="A19" s="13" t="s">
        <v>49</v>
      </c>
      <c r="B19" s="23">
        <v>0.11</v>
      </c>
      <c r="C19" s="25">
        <v>7.8181818181818183</v>
      </c>
      <c r="D19" s="24">
        <v>24.11524448897126</v>
      </c>
      <c r="E19" s="19"/>
      <c r="F19" s="19" t="s">
        <v>143</v>
      </c>
      <c r="G19" s="39"/>
      <c r="H19" s="40"/>
      <c r="I19" s="41">
        <v>17.79898571467616</v>
      </c>
      <c r="J19" s="42">
        <v>1</v>
      </c>
      <c r="K19" s="43">
        <v>19.756960024024728</v>
      </c>
      <c r="L19" s="44">
        <v>3</v>
      </c>
      <c r="M19" s="24">
        <v>18.777972869350442</v>
      </c>
      <c r="N19" s="25">
        <v>2</v>
      </c>
      <c r="O19" s="19"/>
    </row>
    <row r="20" spans="1:15" ht="15.75" customHeight="1" thickBot="1">
      <c r="A20" s="13" t="s">
        <v>55</v>
      </c>
      <c r="B20" s="23">
        <v>0.02</v>
      </c>
      <c r="C20" s="25">
        <v>5</v>
      </c>
      <c r="D20" s="24">
        <v>35.584994601157888</v>
      </c>
      <c r="E20" s="19"/>
      <c r="F20" s="19" t="s">
        <v>128</v>
      </c>
      <c r="G20" s="60">
        <v>31.5737576556125</v>
      </c>
      <c r="H20" s="61">
        <v>5.4642857142857144</v>
      </c>
      <c r="I20" s="60">
        <v>23.089955187525337</v>
      </c>
      <c r="J20" s="61">
        <v>5.3076923076923075</v>
      </c>
      <c r="K20" s="60">
        <v>25.220054971435562</v>
      </c>
      <c r="L20" s="61">
        <v>7.0652173913043477</v>
      </c>
      <c r="M20" s="47">
        <v>26.445265779188443</v>
      </c>
      <c r="N20" s="49">
        <v>6.16</v>
      </c>
      <c r="O20" s="19"/>
    </row>
    <row r="21" spans="1:15" ht="13.5" customHeight="1" thickTop="1">
      <c r="A21" s="13" t="s">
        <v>80</v>
      </c>
      <c r="B21" s="23">
        <v>0.06</v>
      </c>
      <c r="C21" s="25">
        <v>5.833333333333333</v>
      </c>
      <c r="D21" s="24">
        <v>31.913888060940057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>
      <c r="A22" s="13" t="s">
        <v>13</v>
      </c>
      <c r="B22" s="23">
        <v>0.1</v>
      </c>
      <c r="C22" s="25">
        <v>4.5999999999999996</v>
      </c>
      <c r="D22" s="24">
        <v>18.736316388254249</v>
      </c>
      <c r="E22" s="19"/>
      <c r="F22" s="19"/>
      <c r="G22" s="19"/>
      <c r="H22" s="19"/>
      <c r="I22" s="19"/>
      <c r="J22" s="19"/>
      <c r="K22" s="45"/>
      <c r="L22" s="19"/>
      <c r="M22" s="19"/>
      <c r="N22" s="19"/>
      <c r="O22" s="19"/>
    </row>
    <row r="23" spans="1:15">
      <c r="A23" s="13" t="s">
        <v>73</v>
      </c>
      <c r="B23" s="23">
        <v>0.01</v>
      </c>
      <c r="C23" s="25">
        <v>7</v>
      </c>
      <c r="D23" s="24">
        <v>22.9613180638956</v>
      </c>
      <c r="E23" s="19"/>
      <c r="F23" s="19"/>
      <c r="G23" s="19"/>
      <c r="H23" s="19"/>
      <c r="I23" s="19"/>
      <c r="J23" s="19"/>
      <c r="K23" s="46"/>
      <c r="L23" s="19"/>
      <c r="M23" s="19"/>
      <c r="N23" s="19"/>
      <c r="O23" s="19"/>
    </row>
    <row r="24" spans="1:15">
      <c r="A24" s="13" t="s">
        <v>17</v>
      </c>
      <c r="B24" s="23">
        <v>0.57999999999999996</v>
      </c>
      <c r="C24" s="25">
        <v>6.0862068965517242</v>
      </c>
      <c r="D24" s="24">
        <v>27.218078969728172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>
      <c r="A25" s="13" t="s">
        <v>128</v>
      </c>
      <c r="B25" s="23">
        <v>1</v>
      </c>
      <c r="C25" s="25">
        <v>6.16</v>
      </c>
      <c r="D25" s="24">
        <v>26.445265779188443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>
      <c r="A31" s="19"/>
      <c r="B31" s="19"/>
      <c r="C31" s="19"/>
      <c r="D31" s="19"/>
      <c r="E31" s="19"/>
      <c r="F31" s="19"/>
      <c r="G31" s="47"/>
      <c r="H31" s="48"/>
      <c r="I31" s="49"/>
      <c r="J31" s="19"/>
      <c r="K31" s="19"/>
      <c r="L31" s="19"/>
      <c r="M31" s="19"/>
      <c r="N31" s="19"/>
      <c r="O31" s="19"/>
    </row>
    <row r="32" spans="1:15">
      <c r="A32" s="19"/>
      <c r="B32" s="19"/>
      <c r="C32" s="19"/>
      <c r="D32" s="19"/>
      <c r="E32" s="19"/>
      <c r="F32" s="19"/>
      <c r="G32" s="47"/>
      <c r="H32" s="48"/>
      <c r="I32" s="49"/>
      <c r="J32" s="19"/>
      <c r="K32" s="19"/>
      <c r="L32" s="19"/>
      <c r="M32" s="19"/>
      <c r="N32" s="19"/>
      <c r="O32" s="19"/>
    </row>
    <row r="33" spans="6:9">
      <c r="F33" s="19"/>
      <c r="G33" s="20"/>
      <c r="H33" s="21"/>
      <c r="I33" s="22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C44" sqref="C44"/>
    </sheetView>
  </sheetViews>
  <sheetFormatPr defaultRowHeight="12.75"/>
  <cols>
    <col min="1" max="1" width="18" customWidth="1"/>
    <col min="2" max="2" width="12" customWidth="1"/>
    <col min="3" max="3" width="14" customWidth="1"/>
    <col min="4" max="4" width="6" customWidth="1"/>
    <col min="5" max="5" width="18" customWidth="1"/>
    <col min="6" max="6" width="12" customWidth="1"/>
    <col min="7" max="7" width="14" customWidth="1"/>
    <col min="8" max="8" width="6" customWidth="1"/>
  </cols>
  <sheetData>
    <row r="1" spans="1:8" ht="26.25">
      <c r="A1" s="54" t="s">
        <v>144</v>
      </c>
      <c r="B1" s="53"/>
      <c r="C1" s="53"/>
      <c r="D1" s="53"/>
      <c r="E1" s="53"/>
      <c r="F1" s="53"/>
      <c r="G1" s="53"/>
      <c r="H1" s="53"/>
    </row>
    <row r="2" spans="1:8" ht="14.25">
      <c r="A2" s="52" t="s">
        <v>145</v>
      </c>
      <c r="B2" s="53"/>
      <c r="C2" s="53"/>
      <c r="D2" s="53"/>
      <c r="E2" s="53"/>
      <c r="F2" s="53"/>
      <c r="G2" s="53"/>
      <c r="H2" s="53"/>
    </row>
    <row r="4" spans="1:8">
      <c r="A4" s="51" t="s">
        <v>146</v>
      </c>
      <c r="C4">
        <v>26.45</v>
      </c>
      <c r="E4" s="51" t="s">
        <v>147</v>
      </c>
      <c r="G4" t="s">
        <v>148</v>
      </c>
    </row>
    <row r="5" spans="1:8">
      <c r="A5" s="51" t="s">
        <v>130</v>
      </c>
      <c r="C5">
        <v>6.16</v>
      </c>
      <c r="E5" s="51" t="s">
        <v>149</v>
      </c>
      <c r="G5">
        <v>100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Checked Data</vt:lpstr>
      <vt:lpstr>Sheet2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 103</dc:creator>
  <cp:lastModifiedBy>Training 103</cp:lastModifiedBy>
  <dcterms:created xsi:type="dcterms:W3CDTF">2018-05-21T18:51:51Z</dcterms:created>
  <dcterms:modified xsi:type="dcterms:W3CDTF">2026-01-27T11:45:30Z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0x01010043D7D523B821FE44890EA3026771F1A4</vt:lpwstr>
  </property>
</Properties>
</file>